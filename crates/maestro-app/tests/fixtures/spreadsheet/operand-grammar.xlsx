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se0" sheetId="1" r:id="rId1"/>
    <sheet name="Case1" sheetId="2" r:id="rId2"/>
    <sheet name="Case2" sheetId="3" r:id="rId3"/>
    <sheet name="Case3" sheetId="4" r:id="rId4"/>
    <sheet name="Case4" sheetId="5" r:id="rId5"/>
    <sheet name="Case5" sheetId="6" r:id="rId6"/>
    <sheet name="Case6" sheetId="7" r:id="rId7"/>
    <sheet name="Case7" sheetId="8" r:id="rId8"/>
    <sheet name="Case8" sheetId="9" r:id="rId9"/>
    <sheet name="Case9" sheetId="10" r:id="rId10"/>
    <sheet name="Case10" sheetId="11" r:id="rId11"/>
    <sheet name="Case11" sheetId="12" r:id="rId12"/>
    <sheet name="Case12" sheetId="13" r:id="rId13"/>
    <sheet name="Case13" sheetId="14" r:id="rId14"/>
    <sheet name="Case14" sheetId="15" r:id="rId15"/>
    <sheet name="Case15" sheetId="16" r:id="rId16"/>
    <sheet name="Case16" sheetId="17" r:id="rId17"/>
    <sheet name="Case17" sheetId="18" r:id="rId18"/>
    <sheet name="Case18" sheetId="19" r:id="rId19"/>
    <sheet name="Case19" sheetId="20" r:id="rId20"/>
    <sheet name="Case20" sheetId="21" r:id="rId21"/>
    <sheet name="Case21" sheetId="22" r:id="rId22"/>
    <sheet name="Case22" sheetId="23" r:id="rId23"/>
    <sheet name="Case23" sheetId="24" r:id="rId24"/>
    <sheet name="Case24" sheetId="25" r:id="rId25"/>
    <sheet name="Case25" sheetId="26" r:id="rId26"/>
    <sheet name="Case26" sheetId="27" r:id="rId27"/>
    <sheet name="Case27" sheetId="28" r:id="rId28"/>
    <sheet name="Case28" sheetId="29" r:id="rId29"/>
    <sheet name="Case29" sheetId="30" r:id="rId30"/>
    <sheet name="Case30" sheetId="31" r:id="rId31"/>
    <sheet name="Case31" sheetId="32" r:id="rId32"/>
    <sheet name="Case32" sheetId="33" r:id="rId33"/>
    <sheet name="Case33" sheetId="34" r:id="rId34"/>
    <sheet name="Case34" sheetId="35" r:id="rId35"/>
    <sheet name="Case35" sheetId="36" r:id="rId36"/>
    <sheet name="Case36" sheetId="37" r:id="rId37"/>
    <sheet name="Case37" sheetId="38" r:id="rId38"/>
    <sheet name="Case38" sheetId="39" r:id="rId39"/>
    <sheet name="Case39" sheetId="40" r:id="rId40"/>
    <sheet name="Case40" sheetId="41" r:id="rId41"/>
    <sheet name="Case41" sheetId="42" r:id="rId42"/>
    <sheet name="Case42" sheetId="43" r:id="rId43"/>
    <sheet name="Case43" sheetId="44" r:id="rId44"/>
    <sheet name="Case44" sheetId="45" r:id="rId45"/>
    <sheet name="Case45" sheetId="46" r:id="rId46"/>
    <sheet name="Case46" sheetId="47" r:id="rId47"/>
    <sheet name="Case47" sheetId="48" r:id="rId48"/>
    <sheet name="Case48" sheetId="49" r:id="rId49"/>
    <sheet name="Case49" sheetId="50" r:id="rId50"/>
    <sheet name="Case50" sheetId="51" r:id="rId51"/>
    <sheet name="Case51" sheetId="52" r:id="rId52"/>
    <sheet name="Case52" sheetId="53" r:id="rId53"/>
    <sheet name="Case53" sheetId="54" r:id="rId54"/>
    <sheet name="Case54" sheetId="55" r:id="rId55"/>
    <sheet name="Case55" sheetId="56" r:id="rId56"/>
    <sheet name="Case56" sheetId="57" r:id="rId57"/>
    <sheet name="Case57" sheetId="58" r:id="rId58"/>
    <sheet name="Case58" sheetId="59" r:id="rId59"/>
    <sheet name="Case59" sheetId="60" r:id="rId60"/>
    <sheet name="Case60" sheetId="61" r:id="rId61"/>
    <sheet name="Case61" sheetId="62" r:id="rId62"/>
    <sheet name="Case62" sheetId="63" r:id="rId63"/>
    <sheet name="Case63" sheetId="64" r:id="rId64"/>
    <sheet name="Case64" sheetId="65" r:id="rId65"/>
    <sheet name="Case65" sheetId="66" r:id="rId66"/>
    <sheet name="Case66" sheetId="67" r:id="rId67"/>
    <sheet name="Case67" sheetId="68" r:id="rId68"/>
    <sheet name="Case68" sheetId="69" r:id="rId69"/>
    <sheet name="Case69" sheetId="70" r:id="rId70"/>
    <sheet name="Case70" sheetId="71" r:id="rId71"/>
    <sheet name="Case71" sheetId="72" r:id="rId72"/>
    <sheet name="Case72" sheetId="73" r:id="rId73"/>
    <sheet name="Case73" sheetId="74" r:id="rId74"/>
    <sheet name="Case74" sheetId="75" r:id="rId75"/>
    <sheet name="Case75" sheetId="76" r:id="rId76"/>
    <sheet name="Case76" sheetId="77" r:id="rId77"/>
    <sheet name="Case77" sheetId="78" r:id="rId78"/>
    <sheet name="Case78" sheetId="79" r:id="rId79"/>
    <sheet name="Case79" sheetId="80" r:id="rId80"/>
    <sheet name="Case80" sheetId="81" r:id="rId81"/>
    <sheet name="Case81" sheetId="82" r:id="rId82"/>
    <sheet name="Case82" sheetId="83" r:id="rId83"/>
    <sheet name="Case83" sheetId="84" r:id="rId84"/>
    <sheet name="Case84" sheetId="85" r:id="rId85"/>
    <sheet name="Case85" sheetId="86" r:id="rId86"/>
    <sheet name="Case86" sheetId="87" r:id="rId87"/>
    <sheet name="Case87" sheetId="88" r:id="rId88"/>
    <sheet name="Case88" sheetId="89" r:id="rId89"/>
    <sheet name="Case89" sheetId="90" r:id="rId90"/>
    <sheet name="Case90" sheetId="91" r:id="rId91"/>
    <sheet name="Case91" sheetId="92" r:id="rId92"/>
    <sheet name="Case92" sheetId="93" r:id="rId93"/>
    <sheet name="Case93" sheetId="94" r:id="rId94"/>
    <sheet name="Case94" sheetId="95" r:id="rId95"/>
    <sheet name="Case95" sheetId="96" r:id="rId96"/>
    <sheet name="Case96" sheetId="97" r:id="rId97"/>
    <sheet name="Case97" sheetId="98" r:id="rId98"/>
    <sheet name="Case98" sheetId="99" r:id="rId99"/>
    <sheet name="Case99" sheetId="100" r:id="rId100"/>
    <sheet name="Case100" sheetId="101" r:id="rId101"/>
    <sheet name="Case101" sheetId="102" r:id="rId102"/>
    <sheet name="Case102" sheetId="103" r:id="rId103"/>
    <sheet name="Case103" sheetId="104" r:id="rId104"/>
    <sheet name="Case104" sheetId="105" r:id="rId105"/>
    <sheet name="Case105" sheetId="106" r:id="rId106"/>
    <sheet name="Case106" sheetId="107" r:id="rId107"/>
    <sheet name="Case107" sheetId="108" r:id="rId108"/>
    <sheet name="Case108" sheetId="109" r:id="rId109"/>
    <sheet name="Case109" sheetId="110" r:id="rId110"/>
    <sheet name="Case110" sheetId="111" r:id="rId111"/>
    <sheet name="Case111" sheetId="112" r:id="rId112"/>
    <sheet name="Case112" sheetId="113" r:id="rId113"/>
    <sheet name="Case113" sheetId="114" r:id="rId114"/>
    <sheet name="Case114" sheetId="115" r:id="rId115"/>
    <sheet name="Case115" sheetId="116" r:id="rId116"/>
    <sheet name="Case116" sheetId="117" r:id="rId117"/>
    <sheet name="Case117" sheetId="118" r:id="rId118"/>
    <sheet name="Case118" sheetId="119" r:id="rId119"/>
    <sheet name="Case119" sheetId="120" r:id="rId120"/>
    <sheet name="Case120" sheetId="121" r:id="rId121"/>
    <sheet name="Case121" sheetId="122" r:id="rId122"/>
    <sheet name="Case122" sheetId="123" r:id="rId123"/>
    <sheet name="Case123" sheetId="124" r:id="rId124"/>
    <sheet name="Case124" sheetId="125" r:id="rId125"/>
    <sheet name="Case125" sheetId="126" r:id="rId126"/>
    <sheet name="Case126" sheetId="127" r:id="rId127"/>
    <sheet name="Case127" sheetId="128" r:id="rId128"/>
    <sheet name="Case128" sheetId="129" r:id="rId129"/>
    <sheet name="Case129" sheetId="130" r:id="rId130"/>
    <sheet name="Case130" sheetId="131" r:id="rId131"/>
    <sheet name="Case131" sheetId="132" r:id="rId132"/>
    <sheet name="Case132" sheetId="133" r:id="rId133"/>
    <sheet name="Case133" sheetId="134" r:id="rId134"/>
    <sheet name="Case134" sheetId="135" r:id="rId135"/>
    <sheet name="Case135" sheetId="136" r:id="rId136"/>
    <sheet name="Case136" sheetId="137" r:id="rId137"/>
    <sheet name="Case137" sheetId="138" r:id="rId138"/>
    <sheet name="Case138" sheetId="139" r:id="rId139"/>
    <sheet name="Case139" sheetId="140" r:id="rId140"/>
    <sheet name="Case140" sheetId="141" r:id="rId141"/>
    <sheet name="Case141" sheetId="142" r:id="rId142"/>
    <sheet name="Case142" sheetId="143" r:id="rId143"/>
    <sheet name="Case143" sheetId="144" r:id="rId144"/>
    <sheet name="Case144" sheetId="145" r:id="rId145"/>
    <sheet name="Case145" sheetId="146" r:id="rId146"/>
    <sheet name="Case146" sheetId="147" r:id="rId147"/>
    <sheet name="Case147" sheetId="148" r:id="rId148"/>
    <sheet name="Case148" sheetId="149" r:id="rId149"/>
    <sheet name="Case149" sheetId="150" r:id="rId150"/>
    <sheet name="Case150" sheetId="151" r:id="rId151"/>
    <sheet name="Case151" sheetId="152" r:id="rId152"/>
    <sheet name="Case152" sheetId="153" r:id="rId153"/>
    <sheet name="Case153" sheetId="154" r:id="rId154"/>
    <sheet name="Case154" sheetId="155" r:id="rId155"/>
    <sheet name="Case155" sheetId="156" r:id="rId156"/>
    <sheet name="Case156" sheetId="157" r:id="rId157"/>
    <sheet name="Case157" sheetId="158" r:id="rId158"/>
    <sheet name="Case158" sheetId="159" r:id="rId159"/>
    <sheet name="Case159" sheetId="160" r:id="rId160"/>
    <sheet name="Case160" sheetId="161" r:id="rId161"/>
    <sheet name="Case161" sheetId="162" r:id="rId162"/>
    <sheet name="Case162" sheetId="163" r:id="rId163"/>
    <sheet name="Case163" sheetId="164" r:id="rId164"/>
    <sheet name="Case164" sheetId="165" r:id="rId165"/>
    <sheet name="Case165" sheetId="166" r:id="rId166"/>
    <sheet name="Case166" sheetId="167" r:id="rId167"/>
    <sheet name="Case167" sheetId="168" r:id="rId168"/>
    <sheet name="Case168" sheetId="169" r:id="rId169"/>
    <sheet name="Case169" sheetId="170" r:id="rId170"/>
    <sheet name="Case170" sheetId="171" r:id="rId171"/>
    <sheet name="Case171" sheetId="172" r:id="rId172"/>
    <sheet name="Case172" sheetId="173" r:id="rId173"/>
    <sheet name="Case173" sheetId="174" r:id="rId174"/>
    <sheet name="Case174" sheetId="175" r:id="rId175"/>
    <sheet name="Case175" sheetId="176" r:id="rId176"/>
    <sheet name="Case176" sheetId="177" r:id="rId177"/>
    <sheet name="Case177" sheetId="178" r:id="rId178"/>
    <sheet name="Case178" sheetId="179" r:id="rId179"/>
    <sheet name="Case179" sheetId="180" r:id="rId180"/>
    <sheet name="Case180" sheetId="181" r:id="rId181"/>
    <sheet name="Case181" sheetId="182" r:id="rId182"/>
    <sheet name="Case182" sheetId="183" r:id="rId183"/>
    <sheet name="Case183" sheetId="184" r:id="rId184"/>
    <sheet name="Case184" sheetId="185" r:id="rId185"/>
    <sheet name="Case185" sheetId="186" r:id="rId186"/>
    <sheet name="Case186" sheetId="187" r:id="rId187"/>
    <sheet name="Case187" sheetId="188" r:id="rId188"/>
    <sheet name="Case188" sheetId="189" r:id="rId189"/>
    <sheet name="Case189" sheetId="190" r:id="rId190"/>
    <sheet name="Case190" sheetId="191" r:id="rId191"/>
    <sheet name="Case191" sheetId="192" r:id="rId192"/>
    <sheet name="Case192" sheetId="193" r:id="rId193"/>
    <sheet name="Case193" sheetId="194" r:id="rId194"/>
    <sheet name="Case194" sheetId="195" r:id="rId195"/>
    <sheet name="Case195" sheetId="196" r:id="rId196"/>
    <sheet name="Case196" sheetId="197" r:id="rId197"/>
    <sheet name="Case197" sheetId="198" r:id="rId198"/>
    <sheet name="Case198" sheetId="199" r:id="rId199"/>
    <sheet name="Case199" sheetId="200" r:id="rId200"/>
    <sheet name="Case200" sheetId="201" r:id="rId201"/>
    <sheet name="Case201" sheetId="202" r:id="rId202"/>
    <sheet name="Case202" sheetId="203" r:id="rId203"/>
    <sheet name="Case203" sheetId="204" r:id="rId204"/>
    <sheet name="Case204" sheetId="205" r:id="rId205"/>
    <sheet name="Case205" sheetId="206" r:id="rId206"/>
    <sheet name="Case206" sheetId="207" r:id="rId207"/>
    <sheet name="Case207" sheetId="208" r:id="rId208"/>
    <sheet name="Case208" sheetId="209" r:id="rId209"/>
    <sheet name="Case209" sheetId="210" r:id="rId210"/>
    <sheet name="Case210" sheetId="211" r:id="rId211"/>
    <sheet name="Case211" sheetId="212" r:id="rId212"/>
    <sheet name="Case212" sheetId="213" r:id="rId213"/>
    <sheet name="Case213" sheetId="214" r:id="rId214"/>
    <sheet name="Case214" sheetId="215" r:id="rId215"/>
    <sheet name="Case215" sheetId="216" r:id="rId216"/>
    <sheet name="Case216" sheetId="217" r:id="rId217"/>
    <sheet name="Case217" sheetId="218" r:id="rId218"/>
    <sheet name="Case218" sheetId="219" r:id="rId219"/>
    <sheet name="Case219" sheetId="220" r:id="rId220"/>
    <sheet name="Case220" sheetId="221" r:id="rId221"/>
    <sheet name="Case221" sheetId="222" r:id="rId222"/>
    <sheet name="Case222" sheetId="223" r:id="rId223"/>
    <sheet name="Case223" sheetId="224" r:id="rId224"/>
    <sheet name="Case224" sheetId="225" r:id="rId225"/>
    <sheet name="Case225" sheetId="226" r:id="rId226"/>
    <sheet name="Case226" sheetId="227" r:id="rId227"/>
    <sheet name="Case227" sheetId="228" r:id="rId228"/>
    <sheet name="Case228" sheetId="229" r:id="rId229"/>
    <sheet name="Case229" sheetId="230" r:id="rId230"/>
    <sheet name="Case230" sheetId="231" r:id="rId231"/>
    <sheet name="Case231" sheetId="232" r:id="rId232"/>
    <sheet name="Case232" sheetId="233" r:id="rId233"/>
    <sheet name="Case233" sheetId="234" r:id="rId234"/>
    <sheet name="Case234" sheetId="235" r:id="rId235"/>
    <sheet name="Case235" sheetId="236" r:id="rId236"/>
    <sheet name="Case236" sheetId="237" r:id="rId237"/>
    <sheet name="Case237" sheetId="238" r:id="rId238"/>
    <sheet name="Case238" sheetId="239" r:id="rId239"/>
    <sheet name="Case239" sheetId="240" r:id="rId240"/>
    <sheet name="Case240" sheetId="241" r:id="rId241"/>
    <sheet name="Case241" sheetId="242" r:id="rId242"/>
    <sheet name="Case242" sheetId="243" r:id="rId243"/>
    <sheet name="Case243" sheetId="244" r:id="rId244"/>
    <sheet name="Case244" sheetId="245" r:id="rId245"/>
    <sheet name="Case245" sheetId="246" r:id="rId246"/>
    <sheet name="Case246" sheetId="247" r:id="rId247"/>
    <sheet name="Case247" sheetId="248" r:id="rId248"/>
    <sheet name="Case248" sheetId="249" r:id="rId249"/>
    <sheet name="Case249" sheetId="250" r:id="rId250"/>
    <sheet name="Case250" sheetId="251" r:id="rId251"/>
    <sheet name="Case251" sheetId="252" r:id="rId252"/>
    <sheet name="Case252" sheetId="253" r:id="rId253"/>
    <sheet name="Case253" sheetId="254" r:id="rId254"/>
    <sheet name="Case254" sheetId="255" r:id="rId255"/>
    <sheet name="Case255" sheetId="256" r:id="rId256"/>
    <sheet name="Case256" sheetId="257" r:id="rId257"/>
    <sheet name="Case257" sheetId="258" r:id="rId258"/>
    <sheet name="Case258" sheetId="259" r:id="rId259"/>
    <sheet name="Case259" sheetId="260" r:id="rId260"/>
    <sheet name="Case260" sheetId="261" r:id="rId261"/>
    <sheet name="Case261" sheetId="262" r:id="rId262"/>
    <sheet name="Case262" sheetId="263" r:id="rId263"/>
    <sheet name="Case263" sheetId="264" r:id="rId264"/>
    <sheet name="Case264" sheetId="265" r:id="rId265"/>
    <sheet name="Case265" sheetId="266" r:id="rId266"/>
    <sheet name="Case266" sheetId="267" r:id="rId267"/>
    <sheet name="Case267" sheetId="268" r:id="rId268"/>
    <sheet name="Case268" sheetId="269" r:id="rId269"/>
    <sheet name="Case269" sheetId="270" r:id="rId270"/>
    <sheet name="Case270" sheetId="271" r:id="rId271"/>
    <sheet name="Case271" sheetId="272" r:id="rId272"/>
    <sheet name="Case272" sheetId="273" r:id="rId273"/>
    <sheet name="Case273" sheetId="274" r:id="rId274"/>
    <sheet name="Case274" sheetId="275" r:id="rId275"/>
    <sheet name="Case275" sheetId="276" r:id="rId276"/>
    <sheet name="Case276" sheetId="277" r:id="rId277"/>
    <sheet name="Case277" sheetId="278" r:id="rId278"/>
    <sheet name="Case278" sheetId="279" r:id="rId279"/>
    <sheet name="Case279" sheetId="280" r:id="rId280"/>
    <sheet name="Case280" sheetId="281" r:id="rId281"/>
    <sheet name="Case281" sheetId="282" r:id="rId282"/>
    <sheet name="Case282" sheetId="283" r:id="rId283"/>
    <sheet name="Case283" sheetId="284" r:id="rId284"/>
    <sheet name="Case284" sheetId="285" r:id="rId285"/>
    <sheet name="Case285" sheetId="286" r:id="rId286"/>
    <sheet name="Case286" sheetId="287" r:id="rId287"/>
    <sheet name="Case287" sheetId="288" r:id="rId288"/>
    <sheet name="Case288" sheetId="289" r:id="rId289"/>
    <sheet name="Case289" sheetId="290" r:id="rId290"/>
    <sheet name="Case290" sheetId="291" r:id="rId291"/>
    <sheet name="Case291" sheetId="292" r:id="rId292"/>
    <sheet name="Case292" sheetId="293" r:id="rId293"/>
    <sheet name="Case293" sheetId="294" r:id="rId294"/>
    <sheet name="Case294" sheetId="295" r:id="rId295"/>
    <sheet name="Case295" sheetId="296" r:id="rId296"/>
    <sheet name="Case296" sheetId="297" r:id="rId297"/>
    <sheet name="Case297" sheetId="298" r:id="rId298"/>
    <sheet name="Case298" sheetId="299" r:id="rId299"/>
    <sheet name="Case299" sheetId="300" r:id="rId300"/>
    <sheet name="Case300" sheetId="301" r:id="rId301"/>
    <sheet name="Case301" sheetId="302" r:id="rId302"/>
    <sheet name="Case302" sheetId="303" r:id="rId303"/>
    <sheet name="Case303" sheetId="304" r:id="rId304"/>
    <sheet name="Case304" sheetId="305" r:id="rId305"/>
    <sheet name="Case305" sheetId="306" r:id="rId306"/>
    <sheet name="Case306" sheetId="307" r:id="rId307"/>
    <sheet name="Case307" sheetId="308" r:id="rId308"/>
    <sheet name="Case308" sheetId="309" r:id="rId309"/>
    <sheet name="Case309" sheetId="310" r:id="rId310"/>
    <sheet name="Case310" sheetId="311" r:id="rId311"/>
    <sheet name="Case311" sheetId="312" r:id="rId312"/>
    <sheet name="Case312" sheetId="313" r:id="rId313"/>
    <sheet name="Case313" sheetId="314" r:id="rId314"/>
    <sheet name="Case314" sheetId="315" r:id="rId315"/>
    <sheet name="Case315" sheetId="316" r:id="rId316"/>
    <sheet name="Case316" sheetId="317" r:id="rId317"/>
    <sheet name="Case317" sheetId="318" r:id="rId318"/>
    <sheet name="Case318" sheetId="319" r:id="rId319"/>
    <sheet name="Case319" sheetId="320" r:id="rId320"/>
    <sheet name="Case320" sheetId="321" r:id="rId321"/>
    <sheet name="Case321" sheetId="322" r:id="rId322"/>
    <sheet name="Case322" sheetId="323" r:id="rId323"/>
    <sheet name="Case323" sheetId="324" r:id="rId324"/>
    <sheet name="Case324" sheetId="325" r:id="rId325"/>
    <sheet name="Case325" sheetId="326" r:id="rId326"/>
    <sheet name="Case326" sheetId="327" r:id="rId327"/>
    <sheet name="Case327" sheetId="328" r:id="rId328"/>
    <sheet name="Case328" sheetId="329" r:id="rId329"/>
    <sheet name="Case329" sheetId="330" r:id="rId330"/>
    <sheet name="Case330" sheetId="331" r:id="rId331"/>
    <sheet name="Case331" sheetId="332" r:id="rId332"/>
    <sheet name="Case332" sheetId="333" r:id="rId333"/>
    <sheet name="Case333" sheetId="334" r:id="rId334"/>
    <sheet name="Case334" sheetId="335" r:id="rId335"/>
    <sheet name="Case335" sheetId="336" r:id="rId336"/>
    <sheet name="Case336" sheetId="337" r:id="rId337"/>
    <sheet name="Case337" sheetId="338" r:id="rId338"/>
    <sheet name="Case338" sheetId="339" r:id="rId339"/>
    <sheet name="Case339" sheetId="340" r:id="rId340"/>
    <sheet name="Case340" sheetId="341" r:id="rId341"/>
    <sheet name="Case341" sheetId="342" r:id="rId342"/>
    <sheet name="Case342" sheetId="343" r:id="rId343"/>
    <sheet name="Case343" sheetId="344" r:id="rId344"/>
    <sheet name="Case344" sheetId="345" r:id="rId345"/>
    <sheet name="Case345" sheetId="346" r:id="rId346"/>
    <sheet name="Case346" sheetId="347" r:id="rId347"/>
    <sheet name="Case347" sheetId="348" r:id="rId348"/>
    <sheet name="Case348" sheetId="349" r:id="rId349"/>
    <sheet name="Case349" sheetId="350" r:id="rId350"/>
    <sheet name="Case350" sheetId="351" r:id="rId351"/>
    <sheet name="Case351" sheetId="352" r:id="rId352"/>
    <sheet name="Case352" sheetId="353" r:id="rId353"/>
    <sheet name="Case353" sheetId="354" r:id="rId354"/>
    <sheet name="Case354" sheetId="355" r:id="rId355"/>
    <sheet name="Case355" sheetId="356" r:id="rId356"/>
    <sheet name="Case356" sheetId="357" r:id="rId357"/>
    <sheet name="Case357" sheetId="358" r:id="rId358"/>
    <sheet name="Case358" sheetId="359" r:id="rId359"/>
    <sheet name="Case359" sheetId="360" r:id="rId360"/>
    <sheet name="Case360" sheetId="361" r:id="rId361"/>
    <sheet name="Case361" sheetId="362" r:id="rId362"/>
    <sheet name="Case362" sheetId="363" r:id="rId363"/>
    <sheet name="Case363" sheetId="364" r:id="rId364"/>
    <sheet name="Case364" sheetId="365" r:id="rId365"/>
    <sheet name="Case365" sheetId="366" r:id="rId366"/>
    <sheet name="Case366" sheetId="367" r:id="rId367"/>
    <sheet name="Case367" sheetId="368" r:id="rId368"/>
    <sheet name="Case368" sheetId="369" r:id="rId369"/>
    <sheet name="Case369" sheetId="370" r:id="rId370"/>
    <sheet name="Case370" sheetId="371" r:id="rId371"/>
    <sheet name="Case371" sheetId="372" r:id="rId372"/>
    <sheet name="Case372" sheetId="373" r:id="rId373"/>
    <sheet name="Case373" sheetId="374" r:id="rId374"/>
    <sheet name="Case374" sheetId="375" r:id="rId375"/>
    <sheet name="Case375" sheetId="376" r:id="rId376"/>
    <sheet name="Case376" sheetId="377" r:id="rId377"/>
    <sheet name="Case377" sheetId="378" r:id="rId378"/>
    <sheet name="Case378" sheetId="379" r:id="rId379"/>
    <sheet name="Case379" sheetId="380" r:id="rId380"/>
    <sheet name="Case380" sheetId="381" r:id="rId381"/>
    <sheet name="Case381" sheetId="382" r:id="rId382"/>
    <sheet name="Case382" sheetId="383" r:id="rId383"/>
    <sheet name="Case383" sheetId="384" r:id="rId384"/>
    <sheet name="Case384" sheetId="385" r:id="rId385"/>
    <sheet name="Case385" sheetId="386" r:id="rId386"/>
    <sheet name="Case386" sheetId="387" r:id="rId387"/>
    <sheet name="Case387" sheetId="388" r:id="rId388"/>
    <sheet name="Case388" sheetId="389" r:id="rId389"/>
    <sheet name="Case389" sheetId="390" r:id="rId390"/>
    <sheet name="Case390" sheetId="391" r:id="rId391"/>
    <sheet name="Case391" sheetId="392" r:id="rId392"/>
    <sheet name="Case392" sheetId="393" r:id="rId393"/>
    <sheet name="Case393" sheetId="394" r:id="rId394"/>
    <sheet name="Case394" sheetId="395" r:id="rId395"/>
    <sheet name="Case395" sheetId="396" r:id="rId396"/>
    <sheet name="Case396" sheetId="397" r:id="rId397"/>
    <sheet name="Case397" sheetId="398" r:id="rId398"/>
    <sheet name="Case398" sheetId="399" r:id="rId399"/>
    <sheet name="Case399" sheetId="400" r:id="rId400"/>
    <sheet name="Case400" sheetId="401" r:id="rId401"/>
    <sheet name="Case401" sheetId="402" r:id="rId402"/>
    <sheet name="Case402" sheetId="403" r:id="rId403"/>
    <sheet name="Case403" sheetId="404" r:id="rId404"/>
    <sheet name="Case404" sheetId="405" r:id="rId405"/>
    <sheet name="Case405" sheetId="406" r:id="rId406"/>
    <sheet name="Case406" sheetId="407" r:id="rId407"/>
    <sheet name="Case407" sheetId="408" r:id="rId408"/>
    <sheet name="Case408" sheetId="409" r:id="rId409"/>
  </sheets>
  <definedNames>
    <definedName name="LastCell">Case0!$A$1</definedName>
    <definedName name="ΩA1">Case0!$A$1</definedName>
    <definedName name="A1é">Case0!$A$1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worksheet" Target="worksheets/sheet79.xml"/><Relationship Id="rId80" Type="http://schemas.openxmlformats.org/officeDocument/2006/relationships/worksheet" Target="worksheets/sheet80.xml"/><Relationship Id="rId81" Type="http://schemas.openxmlformats.org/officeDocument/2006/relationships/worksheet" Target="worksheets/sheet81.xml"/><Relationship Id="rId82" Type="http://schemas.openxmlformats.org/officeDocument/2006/relationships/worksheet" Target="worksheets/sheet82.xml"/><Relationship Id="rId83" Type="http://schemas.openxmlformats.org/officeDocument/2006/relationships/worksheet" Target="worksheets/sheet83.xml"/><Relationship Id="rId84" Type="http://schemas.openxmlformats.org/officeDocument/2006/relationships/worksheet" Target="worksheets/sheet84.xml"/><Relationship Id="rId85" Type="http://schemas.openxmlformats.org/officeDocument/2006/relationships/worksheet" Target="worksheets/sheet85.xml"/><Relationship Id="rId86" Type="http://schemas.openxmlformats.org/officeDocument/2006/relationships/worksheet" Target="worksheets/sheet86.xml"/><Relationship Id="rId87" Type="http://schemas.openxmlformats.org/officeDocument/2006/relationships/worksheet" Target="worksheets/sheet87.xml"/><Relationship Id="rId88" Type="http://schemas.openxmlformats.org/officeDocument/2006/relationships/worksheet" Target="worksheets/sheet88.xml"/><Relationship Id="rId89" Type="http://schemas.openxmlformats.org/officeDocument/2006/relationships/worksheet" Target="worksheets/sheet89.xml"/><Relationship Id="rId90" Type="http://schemas.openxmlformats.org/officeDocument/2006/relationships/worksheet" Target="worksheets/sheet90.xml"/><Relationship Id="rId91" Type="http://schemas.openxmlformats.org/officeDocument/2006/relationships/worksheet" Target="worksheets/sheet91.xml"/><Relationship Id="rId92" Type="http://schemas.openxmlformats.org/officeDocument/2006/relationships/worksheet" Target="worksheets/sheet92.xml"/><Relationship Id="rId93" Type="http://schemas.openxmlformats.org/officeDocument/2006/relationships/worksheet" Target="worksheets/sheet93.xml"/><Relationship Id="rId94" Type="http://schemas.openxmlformats.org/officeDocument/2006/relationships/worksheet" Target="worksheets/sheet94.xml"/><Relationship Id="rId95" Type="http://schemas.openxmlformats.org/officeDocument/2006/relationships/worksheet" Target="worksheets/sheet95.xml"/><Relationship Id="rId96" Type="http://schemas.openxmlformats.org/officeDocument/2006/relationships/worksheet" Target="worksheets/sheet96.xml"/><Relationship Id="rId97" Type="http://schemas.openxmlformats.org/officeDocument/2006/relationships/worksheet" Target="worksheets/sheet97.xml"/><Relationship Id="rId98" Type="http://schemas.openxmlformats.org/officeDocument/2006/relationships/worksheet" Target="worksheets/sheet98.xml"/><Relationship Id="rId99" Type="http://schemas.openxmlformats.org/officeDocument/2006/relationships/worksheet" Target="worksheets/sheet99.xml"/><Relationship Id="rId100" Type="http://schemas.openxmlformats.org/officeDocument/2006/relationships/worksheet" Target="worksheets/sheet100.xml"/><Relationship Id="rId101" Type="http://schemas.openxmlformats.org/officeDocument/2006/relationships/worksheet" Target="worksheets/sheet101.xml"/><Relationship Id="rId102" Type="http://schemas.openxmlformats.org/officeDocument/2006/relationships/worksheet" Target="worksheets/sheet102.xml"/><Relationship Id="rId103" Type="http://schemas.openxmlformats.org/officeDocument/2006/relationships/worksheet" Target="worksheets/sheet103.xml"/><Relationship Id="rId104" Type="http://schemas.openxmlformats.org/officeDocument/2006/relationships/worksheet" Target="worksheets/sheet104.xml"/><Relationship Id="rId105" Type="http://schemas.openxmlformats.org/officeDocument/2006/relationships/worksheet" Target="worksheets/sheet105.xml"/><Relationship Id="rId106" Type="http://schemas.openxmlformats.org/officeDocument/2006/relationships/worksheet" Target="worksheets/sheet106.xml"/><Relationship Id="rId107" Type="http://schemas.openxmlformats.org/officeDocument/2006/relationships/worksheet" Target="worksheets/sheet107.xml"/><Relationship Id="rId108" Type="http://schemas.openxmlformats.org/officeDocument/2006/relationships/worksheet" Target="worksheets/sheet108.xml"/><Relationship Id="rId109" Type="http://schemas.openxmlformats.org/officeDocument/2006/relationships/worksheet" Target="worksheets/sheet109.xml"/><Relationship Id="rId110" Type="http://schemas.openxmlformats.org/officeDocument/2006/relationships/worksheet" Target="worksheets/sheet110.xml"/><Relationship Id="rId111" Type="http://schemas.openxmlformats.org/officeDocument/2006/relationships/worksheet" Target="worksheets/sheet111.xml"/><Relationship Id="rId112" Type="http://schemas.openxmlformats.org/officeDocument/2006/relationships/worksheet" Target="worksheets/sheet112.xml"/><Relationship Id="rId113" Type="http://schemas.openxmlformats.org/officeDocument/2006/relationships/worksheet" Target="worksheets/sheet113.xml"/><Relationship Id="rId114" Type="http://schemas.openxmlformats.org/officeDocument/2006/relationships/worksheet" Target="worksheets/sheet114.xml"/><Relationship Id="rId115" Type="http://schemas.openxmlformats.org/officeDocument/2006/relationships/worksheet" Target="worksheets/sheet115.xml"/><Relationship Id="rId116" Type="http://schemas.openxmlformats.org/officeDocument/2006/relationships/worksheet" Target="worksheets/sheet116.xml"/><Relationship Id="rId117" Type="http://schemas.openxmlformats.org/officeDocument/2006/relationships/worksheet" Target="worksheets/sheet117.xml"/><Relationship Id="rId118" Type="http://schemas.openxmlformats.org/officeDocument/2006/relationships/worksheet" Target="worksheets/sheet118.xml"/><Relationship Id="rId119" Type="http://schemas.openxmlformats.org/officeDocument/2006/relationships/worksheet" Target="worksheets/sheet119.xml"/><Relationship Id="rId120" Type="http://schemas.openxmlformats.org/officeDocument/2006/relationships/worksheet" Target="worksheets/sheet120.xml"/><Relationship Id="rId121" Type="http://schemas.openxmlformats.org/officeDocument/2006/relationships/worksheet" Target="worksheets/sheet121.xml"/><Relationship Id="rId122" Type="http://schemas.openxmlformats.org/officeDocument/2006/relationships/worksheet" Target="worksheets/sheet122.xml"/><Relationship Id="rId123" Type="http://schemas.openxmlformats.org/officeDocument/2006/relationships/worksheet" Target="worksheets/sheet123.xml"/><Relationship Id="rId124" Type="http://schemas.openxmlformats.org/officeDocument/2006/relationships/worksheet" Target="worksheets/sheet124.xml"/><Relationship Id="rId125" Type="http://schemas.openxmlformats.org/officeDocument/2006/relationships/worksheet" Target="worksheets/sheet125.xml"/><Relationship Id="rId126" Type="http://schemas.openxmlformats.org/officeDocument/2006/relationships/worksheet" Target="worksheets/sheet126.xml"/><Relationship Id="rId127" Type="http://schemas.openxmlformats.org/officeDocument/2006/relationships/worksheet" Target="worksheets/sheet127.xml"/><Relationship Id="rId128" Type="http://schemas.openxmlformats.org/officeDocument/2006/relationships/worksheet" Target="worksheets/sheet128.xml"/><Relationship Id="rId129" Type="http://schemas.openxmlformats.org/officeDocument/2006/relationships/worksheet" Target="worksheets/sheet129.xml"/><Relationship Id="rId130" Type="http://schemas.openxmlformats.org/officeDocument/2006/relationships/worksheet" Target="worksheets/sheet130.xml"/><Relationship Id="rId131" Type="http://schemas.openxmlformats.org/officeDocument/2006/relationships/worksheet" Target="worksheets/sheet131.xml"/><Relationship Id="rId132" Type="http://schemas.openxmlformats.org/officeDocument/2006/relationships/worksheet" Target="worksheets/sheet132.xml"/><Relationship Id="rId133" Type="http://schemas.openxmlformats.org/officeDocument/2006/relationships/worksheet" Target="worksheets/sheet133.xml"/><Relationship Id="rId134" Type="http://schemas.openxmlformats.org/officeDocument/2006/relationships/worksheet" Target="worksheets/sheet134.xml"/><Relationship Id="rId135" Type="http://schemas.openxmlformats.org/officeDocument/2006/relationships/worksheet" Target="worksheets/sheet135.xml"/><Relationship Id="rId136" Type="http://schemas.openxmlformats.org/officeDocument/2006/relationships/worksheet" Target="worksheets/sheet136.xml"/><Relationship Id="rId137" Type="http://schemas.openxmlformats.org/officeDocument/2006/relationships/worksheet" Target="worksheets/sheet137.xml"/><Relationship Id="rId138" Type="http://schemas.openxmlformats.org/officeDocument/2006/relationships/worksheet" Target="worksheets/sheet138.xml"/><Relationship Id="rId139" Type="http://schemas.openxmlformats.org/officeDocument/2006/relationships/worksheet" Target="worksheets/sheet139.xml"/><Relationship Id="rId140" Type="http://schemas.openxmlformats.org/officeDocument/2006/relationships/worksheet" Target="worksheets/sheet140.xml"/><Relationship Id="rId141" Type="http://schemas.openxmlformats.org/officeDocument/2006/relationships/worksheet" Target="worksheets/sheet141.xml"/><Relationship Id="rId142" Type="http://schemas.openxmlformats.org/officeDocument/2006/relationships/worksheet" Target="worksheets/sheet142.xml"/><Relationship Id="rId143" Type="http://schemas.openxmlformats.org/officeDocument/2006/relationships/worksheet" Target="worksheets/sheet143.xml"/><Relationship Id="rId144" Type="http://schemas.openxmlformats.org/officeDocument/2006/relationships/worksheet" Target="worksheets/sheet144.xml"/><Relationship Id="rId145" Type="http://schemas.openxmlformats.org/officeDocument/2006/relationships/worksheet" Target="worksheets/sheet145.xml"/><Relationship Id="rId146" Type="http://schemas.openxmlformats.org/officeDocument/2006/relationships/worksheet" Target="worksheets/sheet146.xml"/><Relationship Id="rId147" Type="http://schemas.openxmlformats.org/officeDocument/2006/relationships/worksheet" Target="worksheets/sheet147.xml"/><Relationship Id="rId148" Type="http://schemas.openxmlformats.org/officeDocument/2006/relationships/worksheet" Target="worksheets/sheet148.xml"/><Relationship Id="rId149" Type="http://schemas.openxmlformats.org/officeDocument/2006/relationships/worksheet" Target="worksheets/sheet149.xml"/><Relationship Id="rId150" Type="http://schemas.openxmlformats.org/officeDocument/2006/relationships/worksheet" Target="worksheets/sheet150.xml"/><Relationship Id="rId151" Type="http://schemas.openxmlformats.org/officeDocument/2006/relationships/worksheet" Target="worksheets/sheet151.xml"/><Relationship Id="rId152" Type="http://schemas.openxmlformats.org/officeDocument/2006/relationships/worksheet" Target="worksheets/sheet152.xml"/><Relationship Id="rId153" Type="http://schemas.openxmlformats.org/officeDocument/2006/relationships/worksheet" Target="worksheets/sheet153.xml"/><Relationship Id="rId154" Type="http://schemas.openxmlformats.org/officeDocument/2006/relationships/worksheet" Target="worksheets/sheet154.xml"/><Relationship Id="rId155" Type="http://schemas.openxmlformats.org/officeDocument/2006/relationships/worksheet" Target="worksheets/sheet155.xml"/><Relationship Id="rId156" Type="http://schemas.openxmlformats.org/officeDocument/2006/relationships/worksheet" Target="worksheets/sheet156.xml"/><Relationship Id="rId157" Type="http://schemas.openxmlformats.org/officeDocument/2006/relationships/worksheet" Target="worksheets/sheet157.xml"/><Relationship Id="rId158" Type="http://schemas.openxmlformats.org/officeDocument/2006/relationships/worksheet" Target="worksheets/sheet158.xml"/><Relationship Id="rId159" Type="http://schemas.openxmlformats.org/officeDocument/2006/relationships/worksheet" Target="worksheets/sheet159.xml"/><Relationship Id="rId160" Type="http://schemas.openxmlformats.org/officeDocument/2006/relationships/worksheet" Target="worksheets/sheet160.xml"/><Relationship Id="rId161" Type="http://schemas.openxmlformats.org/officeDocument/2006/relationships/worksheet" Target="worksheets/sheet161.xml"/><Relationship Id="rId162" Type="http://schemas.openxmlformats.org/officeDocument/2006/relationships/worksheet" Target="worksheets/sheet162.xml"/><Relationship Id="rId163" Type="http://schemas.openxmlformats.org/officeDocument/2006/relationships/worksheet" Target="worksheets/sheet163.xml"/><Relationship Id="rId164" Type="http://schemas.openxmlformats.org/officeDocument/2006/relationships/worksheet" Target="worksheets/sheet164.xml"/><Relationship Id="rId165" Type="http://schemas.openxmlformats.org/officeDocument/2006/relationships/worksheet" Target="worksheets/sheet165.xml"/><Relationship Id="rId166" Type="http://schemas.openxmlformats.org/officeDocument/2006/relationships/worksheet" Target="worksheets/sheet166.xml"/><Relationship Id="rId167" Type="http://schemas.openxmlformats.org/officeDocument/2006/relationships/worksheet" Target="worksheets/sheet167.xml"/><Relationship Id="rId168" Type="http://schemas.openxmlformats.org/officeDocument/2006/relationships/worksheet" Target="worksheets/sheet168.xml"/><Relationship Id="rId169" Type="http://schemas.openxmlformats.org/officeDocument/2006/relationships/worksheet" Target="worksheets/sheet169.xml"/><Relationship Id="rId170" Type="http://schemas.openxmlformats.org/officeDocument/2006/relationships/worksheet" Target="worksheets/sheet170.xml"/><Relationship Id="rId171" Type="http://schemas.openxmlformats.org/officeDocument/2006/relationships/worksheet" Target="worksheets/sheet171.xml"/><Relationship Id="rId172" Type="http://schemas.openxmlformats.org/officeDocument/2006/relationships/worksheet" Target="worksheets/sheet172.xml"/><Relationship Id="rId173" Type="http://schemas.openxmlformats.org/officeDocument/2006/relationships/worksheet" Target="worksheets/sheet173.xml"/><Relationship Id="rId174" Type="http://schemas.openxmlformats.org/officeDocument/2006/relationships/worksheet" Target="worksheets/sheet174.xml"/><Relationship Id="rId175" Type="http://schemas.openxmlformats.org/officeDocument/2006/relationships/worksheet" Target="worksheets/sheet175.xml"/><Relationship Id="rId176" Type="http://schemas.openxmlformats.org/officeDocument/2006/relationships/worksheet" Target="worksheets/sheet176.xml"/><Relationship Id="rId177" Type="http://schemas.openxmlformats.org/officeDocument/2006/relationships/worksheet" Target="worksheets/sheet177.xml"/><Relationship Id="rId178" Type="http://schemas.openxmlformats.org/officeDocument/2006/relationships/worksheet" Target="worksheets/sheet178.xml"/><Relationship Id="rId179" Type="http://schemas.openxmlformats.org/officeDocument/2006/relationships/worksheet" Target="worksheets/sheet179.xml"/><Relationship Id="rId180" Type="http://schemas.openxmlformats.org/officeDocument/2006/relationships/worksheet" Target="worksheets/sheet180.xml"/><Relationship Id="rId181" Type="http://schemas.openxmlformats.org/officeDocument/2006/relationships/worksheet" Target="worksheets/sheet181.xml"/><Relationship Id="rId182" Type="http://schemas.openxmlformats.org/officeDocument/2006/relationships/worksheet" Target="worksheets/sheet182.xml"/><Relationship Id="rId183" Type="http://schemas.openxmlformats.org/officeDocument/2006/relationships/worksheet" Target="worksheets/sheet183.xml"/><Relationship Id="rId184" Type="http://schemas.openxmlformats.org/officeDocument/2006/relationships/worksheet" Target="worksheets/sheet184.xml"/><Relationship Id="rId185" Type="http://schemas.openxmlformats.org/officeDocument/2006/relationships/worksheet" Target="worksheets/sheet185.xml"/><Relationship Id="rId186" Type="http://schemas.openxmlformats.org/officeDocument/2006/relationships/worksheet" Target="worksheets/sheet186.xml"/><Relationship Id="rId187" Type="http://schemas.openxmlformats.org/officeDocument/2006/relationships/worksheet" Target="worksheets/sheet187.xml"/><Relationship Id="rId188" Type="http://schemas.openxmlformats.org/officeDocument/2006/relationships/worksheet" Target="worksheets/sheet188.xml"/><Relationship Id="rId189" Type="http://schemas.openxmlformats.org/officeDocument/2006/relationships/worksheet" Target="worksheets/sheet189.xml"/><Relationship Id="rId190" Type="http://schemas.openxmlformats.org/officeDocument/2006/relationships/worksheet" Target="worksheets/sheet190.xml"/><Relationship Id="rId191" Type="http://schemas.openxmlformats.org/officeDocument/2006/relationships/worksheet" Target="worksheets/sheet191.xml"/><Relationship Id="rId192" Type="http://schemas.openxmlformats.org/officeDocument/2006/relationships/worksheet" Target="worksheets/sheet192.xml"/><Relationship Id="rId193" Type="http://schemas.openxmlformats.org/officeDocument/2006/relationships/worksheet" Target="worksheets/sheet193.xml"/><Relationship Id="rId194" Type="http://schemas.openxmlformats.org/officeDocument/2006/relationships/worksheet" Target="worksheets/sheet194.xml"/><Relationship Id="rId195" Type="http://schemas.openxmlformats.org/officeDocument/2006/relationships/worksheet" Target="worksheets/sheet195.xml"/><Relationship Id="rId196" Type="http://schemas.openxmlformats.org/officeDocument/2006/relationships/worksheet" Target="worksheets/sheet196.xml"/><Relationship Id="rId197" Type="http://schemas.openxmlformats.org/officeDocument/2006/relationships/worksheet" Target="worksheets/sheet197.xml"/><Relationship Id="rId198" Type="http://schemas.openxmlformats.org/officeDocument/2006/relationships/worksheet" Target="worksheets/sheet198.xml"/><Relationship Id="rId199" Type="http://schemas.openxmlformats.org/officeDocument/2006/relationships/worksheet" Target="worksheets/sheet199.xml"/><Relationship Id="rId200" Type="http://schemas.openxmlformats.org/officeDocument/2006/relationships/worksheet" Target="worksheets/sheet200.xml"/><Relationship Id="rId201" Type="http://schemas.openxmlformats.org/officeDocument/2006/relationships/worksheet" Target="worksheets/sheet201.xml"/><Relationship Id="rId202" Type="http://schemas.openxmlformats.org/officeDocument/2006/relationships/worksheet" Target="worksheets/sheet202.xml"/><Relationship Id="rId203" Type="http://schemas.openxmlformats.org/officeDocument/2006/relationships/worksheet" Target="worksheets/sheet203.xml"/><Relationship Id="rId204" Type="http://schemas.openxmlformats.org/officeDocument/2006/relationships/worksheet" Target="worksheets/sheet204.xml"/><Relationship Id="rId205" Type="http://schemas.openxmlformats.org/officeDocument/2006/relationships/worksheet" Target="worksheets/sheet205.xml"/><Relationship Id="rId206" Type="http://schemas.openxmlformats.org/officeDocument/2006/relationships/worksheet" Target="worksheets/sheet206.xml"/><Relationship Id="rId207" Type="http://schemas.openxmlformats.org/officeDocument/2006/relationships/worksheet" Target="worksheets/sheet207.xml"/><Relationship Id="rId208" Type="http://schemas.openxmlformats.org/officeDocument/2006/relationships/worksheet" Target="worksheets/sheet208.xml"/><Relationship Id="rId209" Type="http://schemas.openxmlformats.org/officeDocument/2006/relationships/worksheet" Target="worksheets/sheet209.xml"/><Relationship Id="rId210" Type="http://schemas.openxmlformats.org/officeDocument/2006/relationships/worksheet" Target="worksheets/sheet210.xml"/><Relationship Id="rId211" Type="http://schemas.openxmlformats.org/officeDocument/2006/relationships/worksheet" Target="worksheets/sheet211.xml"/><Relationship Id="rId212" Type="http://schemas.openxmlformats.org/officeDocument/2006/relationships/worksheet" Target="worksheets/sheet212.xml"/><Relationship Id="rId213" Type="http://schemas.openxmlformats.org/officeDocument/2006/relationships/worksheet" Target="worksheets/sheet213.xml"/><Relationship Id="rId214" Type="http://schemas.openxmlformats.org/officeDocument/2006/relationships/worksheet" Target="worksheets/sheet214.xml"/><Relationship Id="rId215" Type="http://schemas.openxmlformats.org/officeDocument/2006/relationships/worksheet" Target="worksheets/sheet215.xml"/><Relationship Id="rId216" Type="http://schemas.openxmlformats.org/officeDocument/2006/relationships/worksheet" Target="worksheets/sheet216.xml"/><Relationship Id="rId217" Type="http://schemas.openxmlformats.org/officeDocument/2006/relationships/worksheet" Target="worksheets/sheet217.xml"/><Relationship Id="rId218" Type="http://schemas.openxmlformats.org/officeDocument/2006/relationships/worksheet" Target="worksheets/sheet218.xml"/><Relationship Id="rId219" Type="http://schemas.openxmlformats.org/officeDocument/2006/relationships/worksheet" Target="worksheets/sheet219.xml"/><Relationship Id="rId220" Type="http://schemas.openxmlformats.org/officeDocument/2006/relationships/worksheet" Target="worksheets/sheet220.xml"/><Relationship Id="rId221" Type="http://schemas.openxmlformats.org/officeDocument/2006/relationships/worksheet" Target="worksheets/sheet221.xml"/><Relationship Id="rId222" Type="http://schemas.openxmlformats.org/officeDocument/2006/relationships/worksheet" Target="worksheets/sheet222.xml"/><Relationship Id="rId223" Type="http://schemas.openxmlformats.org/officeDocument/2006/relationships/worksheet" Target="worksheets/sheet223.xml"/><Relationship Id="rId224" Type="http://schemas.openxmlformats.org/officeDocument/2006/relationships/worksheet" Target="worksheets/sheet224.xml"/><Relationship Id="rId225" Type="http://schemas.openxmlformats.org/officeDocument/2006/relationships/worksheet" Target="worksheets/sheet225.xml"/><Relationship Id="rId226" Type="http://schemas.openxmlformats.org/officeDocument/2006/relationships/worksheet" Target="worksheets/sheet226.xml"/><Relationship Id="rId227" Type="http://schemas.openxmlformats.org/officeDocument/2006/relationships/worksheet" Target="worksheets/sheet227.xml"/><Relationship Id="rId228" Type="http://schemas.openxmlformats.org/officeDocument/2006/relationships/worksheet" Target="worksheets/sheet228.xml"/><Relationship Id="rId229" Type="http://schemas.openxmlformats.org/officeDocument/2006/relationships/worksheet" Target="worksheets/sheet229.xml"/><Relationship Id="rId230" Type="http://schemas.openxmlformats.org/officeDocument/2006/relationships/worksheet" Target="worksheets/sheet230.xml"/><Relationship Id="rId231" Type="http://schemas.openxmlformats.org/officeDocument/2006/relationships/worksheet" Target="worksheets/sheet231.xml"/><Relationship Id="rId232" Type="http://schemas.openxmlformats.org/officeDocument/2006/relationships/worksheet" Target="worksheets/sheet232.xml"/><Relationship Id="rId233" Type="http://schemas.openxmlformats.org/officeDocument/2006/relationships/worksheet" Target="worksheets/sheet233.xml"/><Relationship Id="rId234" Type="http://schemas.openxmlformats.org/officeDocument/2006/relationships/worksheet" Target="worksheets/sheet234.xml"/><Relationship Id="rId235" Type="http://schemas.openxmlformats.org/officeDocument/2006/relationships/worksheet" Target="worksheets/sheet235.xml"/><Relationship Id="rId236" Type="http://schemas.openxmlformats.org/officeDocument/2006/relationships/worksheet" Target="worksheets/sheet236.xml"/><Relationship Id="rId237" Type="http://schemas.openxmlformats.org/officeDocument/2006/relationships/worksheet" Target="worksheets/sheet237.xml"/><Relationship Id="rId238" Type="http://schemas.openxmlformats.org/officeDocument/2006/relationships/worksheet" Target="worksheets/sheet238.xml"/><Relationship Id="rId239" Type="http://schemas.openxmlformats.org/officeDocument/2006/relationships/worksheet" Target="worksheets/sheet239.xml"/><Relationship Id="rId240" Type="http://schemas.openxmlformats.org/officeDocument/2006/relationships/worksheet" Target="worksheets/sheet240.xml"/><Relationship Id="rId241" Type="http://schemas.openxmlformats.org/officeDocument/2006/relationships/worksheet" Target="worksheets/sheet241.xml"/><Relationship Id="rId242" Type="http://schemas.openxmlformats.org/officeDocument/2006/relationships/worksheet" Target="worksheets/sheet242.xml"/><Relationship Id="rId243" Type="http://schemas.openxmlformats.org/officeDocument/2006/relationships/worksheet" Target="worksheets/sheet243.xml"/><Relationship Id="rId244" Type="http://schemas.openxmlformats.org/officeDocument/2006/relationships/worksheet" Target="worksheets/sheet244.xml"/><Relationship Id="rId245" Type="http://schemas.openxmlformats.org/officeDocument/2006/relationships/worksheet" Target="worksheets/sheet245.xml"/><Relationship Id="rId246" Type="http://schemas.openxmlformats.org/officeDocument/2006/relationships/worksheet" Target="worksheets/sheet246.xml"/><Relationship Id="rId247" Type="http://schemas.openxmlformats.org/officeDocument/2006/relationships/worksheet" Target="worksheets/sheet247.xml"/><Relationship Id="rId248" Type="http://schemas.openxmlformats.org/officeDocument/2006/relationships/worksheet" Target="worksheets/sheet248.xml"/><Relationship Id="rId249" Type="http://schemas.openxmlformats.org/officeDocument/2006/relationships/worksheet" Target="worksheets/sheet249.xml"/><Relationship Id="rId250" Type="http://schemas.openxmlformats.org/officeDocument/2006/relationships/worksheet" Target="worksheets/sheet250.xml"/><Relationship Id="rId251" Type="http://schemas.openxmlformats.org/officeDocument/2006/relationships/worksheet" Target="worksheets/sheet251.xml"/><Relationship Id="rId252" Type="http://schemas.openxmlformats.org/officeDocument/2006/relationships/worksheet" Target="worksheets/sheet252.xml"/><Relationship Id="rId253" Type="http://schemas.openxmlformats.org/officeDocument/2006/relationships/worksheet" Target="worksheets/sheet253.xml"/><Relationship Id="rId254" Type="http://schemas.openxmlformats.org/officeDocument/2006/relationships/worksheet" Target="worksheets/sheet254.xml"/><Relationship Id="rId255" Type="http://schemas.openxmlformats.org/officeDocument/2006/relationships/worksheet" Target="worksheets/sheet255.xml"/><Relationship Id="rId256" Type="http://schemas.openxmlformats.org/officeDocument/2006/relationships/worksheet" Target="worksheets/sheet256.xml"/><Relationship Id="rId257" Type="http://schemas.openxmlformats.org/officeDocument/2006/relationships/worksheet" Target="worksheets/sheet257.xml"/><Relationship Id="rId258" Type="http://schemas.openxmlformats.org/officeDocument/2006/relationships/worksheet" Target="worksheets/sheet258.xml"/><Relationship Id="rId259" Type="http://schemas.openxmlformats.org/officeDocument/2006/relationships/worksheet" Target="worksheets/sheet259.xml"/><Relationship Id="rId260" Type="http://schemas.openxmlformats.org/officeDocument/2006/relationships/worksheet" Target="worksheets/sheet260.xml"/><Relationship Id="rId261" Type="http://schemas.openxmlformats.org/officeDocument/2006/relationships/worksheet" Target="worksheets/sheet261.xml"/><Relationship Id="rId262" Type="http://schemas.openxmlformats.org/officeDocument/2006/relationships/worksheet" Target="worksheets/sheet262.xml"/><Relationship Id="rId263" Type="http://schemas.openxmlformats.org/officeDocument/2006/relationships/worksheet" Target="worksheets/sheet263.xml"/><Relationship Id="rId264" Type="http://schemas.openxmlformats.org/officeDocument/2006/relationships/worksheet" Target="worksheets/sheet264.xml"/><Relationship Id="rId265" Type="http://schemas.openxmlformats.org/officeDocument/2006/relationships/worksheet" Target="worksheets/sheet265.xml"/><Relationship Id="rId266" Type="http://schemas.openxmlformats.org/officeDocument/2006/relationships/worksheet" Target="worksheets/sheet266.xml"/><Relationship Id="rId267" Type="http://schemas.openxmlformats.org/officeDocument/2006/relationships/worksheet" Target="worksheets/sheet267.xml"/><Relationship Id="rId268" Type="http://schemas.openxmlformats.org/officeDocument/2006/relationships/worksheet" Target="worksheets/sheet268.xml"/><Relationship Id="rId269" Type="http://schemas.openxmlformats.org/officeDocument/2006/relationships/worksheet" Target="worksheets/sheet269.xml"/><Relationship Id="rId270" Type="http://schemas.openxmlformats.org/officeDocument/2006/relationships/worksheet" Target="worksheets/sheet270.xml"/><Relationship Id="rId271" Type="http://schemas.openxmlformats.org/officeDocument/2006/relationships/worksheet" Target="worksheets/sheet271.xml"/><Relationship Id="rId272" Type="http://schemas.openxmlformats.org/officeDocument/2006/relationships/worksheet" Target="worksheets/sheet272.xml"/><Relationship Id="rId273" Type="http://schemas.openxmlformats.org/officeDocument/2006/relationships/worksheet" Target="worksheets/sheet273.xml"/><Relationship Id="rId274" Type="http://schemas.openxmlformats.org/officeDocument/2006/relationships/worksheet" Target="worksheets/sheet274.xml"/><Relationship Id="rId275" Type="http://schemas.openxmlformats.org/officeDocument/2006/relationships/worksheet" Target="worksheets/sheet275.xml"/><Relationship Id="rId276" Type="http://schemas.openxmlformats.org/officeDocument/2006/relationships/worksheet" Target="worksheets/sheet276.xml"/><Relationship Id="rId277" Type="http://schemas.openxmlformats.org/officeDocument/2006/relationships/worksheet" Target="worksheets/sheet277.xml"/><Relationship Id="rId278" Type="http://schemas.openxmlformats.org/officeDocument/2006/relationships/worksheet" Target="worksheets/sheet278.xml"/><Relationship Id="rId279" Type="http://schemas.openxmlformats.org/officeDocument/2006/relationships/worksheet" Target="worksheets/sheet279.xml"/><Relationship Id="rId280" Type="http://schemas.openxmlformats.org/officeDocument/2006/relationships/worksheet" Target="worksheets/sheet280.xml"/><Relationship Id="rId281" Type="http://schemas.openxmlformats.org/officeDocument/2006/relationships/worksheet" Target="worksheets/sheet281.xml"/><Relationship Id="rId282" Type="http://schemas.openxmlformats.org/officeDocument/2006/relationships/worksheet" Target="worksheets/sheet282.xml"/><Relationship Id="rId283" Type="http://schemas.openxmlformats.org/officeDocument/2006/relationships/worksheet" Target="worksheets/sheet283.xml"/><Relationship Id="rId284" Type="http://schemas.openxmlformats.org/officeDocument/2006/relationships/worksheet" Target="worksheets/sheet284.xml"/><Relationship Id="rId285" Type="http://schemas.openxmlformats.org/officeDocument/2006/relationships/worksheet" Target="worksheets/sheet285.xml"/><Relationship Id="rId286" Type="http://schemas.openxmlformats.org/officeDocument/2006/relationships/worksheet" Target="worksheets/sheet286.xml"/><Relationship Id="rId287" Type="http://schemas.openxmlformats.org/officeDocument/2006/relationships/worksheet" Target="worksheets/sheet287.xml"/><Relationship Id="rId288" Type="http://schemas.openxmlformats.org/officeDocument/2006/relationships/worksheet" Target="worksheets/sheet288.xml"/><Relationship Id="rId289" Type="http://schemas.openxmlformats.org/officeDocument/2006/relationships/worksheet" Target="worksheets/sheet289.xml"/><Relationship Id="rId290" Type="http://schemas.openxmlformats.org/officeDocument/2006/relationships/worksheet" Target="worksheets/sheet290.xml"/><Relationship Id="rId291" Type="http://schemas.openxmlformats.org/officeDocument/2006/relationships/worksheet" Target="worksheets/sheet291.xml"/><Relationship Id="rId292" Type="http://schemas.openxmlformats.org/officeDocument/2006/relationships/worksheet" Target="worksheets/sheet292.xml"/><Relationship Id="rId293" Type="http://schemas.openxmlformats.org/officeDocument/2006/relationships/worksheet" Target="worksheets/sheet293.xml"/><Relationship Id="rId294" Type="http://schemas.openxmlformats.org/officeDocument/2006/relationships/worksheet" Target="worksheets/sheet294.xml"/><Relationship Id="rId295" Type="http://schemas.openxmlformats.org/officeDocument/2006/relationships/worksheet" Target="worksheets/sheet295.xml"/><Relationship Id="rId296" Type="http://schemas.openxmlformats.org/officeDocument/2006/relationships/worksheet" Target="worksheets/sheet296.xml"/><Relationship Id="rId297" Type="http://schemas.openxmlformats.org/officeDocument/2006/relationships/worksheet" Target="worksheets/sheet297.xml"/><Relationship Id="rId298" Type="http://schemas.openxmlformats.org/officeDocument/2006/relationships/worksheet" Target="worksheets/sheet298.xml"/><Relationship Id="rId299" Type="http://schemas.openxmlformats.org/officeDocument/2006/relationships/worksheet" Target="worksheets/sheet299.xml"/><Relationship Id="rId300" Type="http://schemas.openxmlformats.org/officeDocument/2006/relationships/worksheet" Target="worksheets/sheet300.xml"/><Relationship Id="rId301" Type="http://schemas.openxmlformats.org/officeDocument/2006/relationships/worksheet" Target="worksheets/sheet301.xml"/><Relationship Id="rId302" Type="http://schemas.openxmlformats.org/officeDocument/2006/relationships/worksheet" Target="worksheets/sheet302.xml"/><Relationship Id="rId303" Type="http://schemas.openxmlformats.org/officeDocument/2006/relationships/worksheet" Target="worksheets/sheet303.xml"/><Relationship Id="rId304" Type="http://schemas.openxmlformats.org/officeDocument/2006/relationships/worksheet" Target="worksheets/sheet304.xml"/><Relationship Id="rId305" Type="http://schemas.openxmlformats.org/officeDocument/2006/relationships/worksheet" Target="worksheets/sheet305.xml"/><Relationship Id="rId306" Type="http://schemas.openxmlformats.org/officeDocument/2006/relationships/worksheet" Target="worksheets/sheet306.xml"/><Relationship Id="rId307" Type="http://schemas.openxmlformats.org/officeDocument/2006/relationships/worksheet" Target="worksheets/sheet307.xml"/><Relationship Id="rId308" Type="http://schemas.openxmlformats.org/officeDocument/2006/relationships/worksheet" Target="worksheets/sheet308.xml"/><Relationship Id="rId309" Type="http://schemas.openxmlformats.org/officeDocument/2006/relationships/worksheet" Target="worksheets/sheet309.xml"/><Relationship Id="rId310" Type="http://schemas.openxmlformats.org/officeDocument/2006/relationships/worksheet" Target="worksheets/sheet310.xml"/><Relationship Id="rId311" Type="http://schemas.openxmlformats.org/officeDocument/2006/relationships/worksheet" Target="worksheets/sheet311.xml"/><Relationship Id="rId312" Type="http://schemas.openxmlformats.org/officeDocument/2006/relationships/worksheet" Target="worksheets/sheet312.xml"/><Relationship Id="rId313" Type="http://schemas.openxmlformats.org/officeDocument/2006/relationships/worksheet" Target="worksheets/sheet313.xml"/><Relationship Id="rId314" Type="http://schemas.openxmlformats.org/officeDocument/2006/relationships/worksheet" Target="worksheets/sheet314.xml"/><Relationship Id="rId315" Type="http://schemas.openxmlformats.org/officeDocument/2006/relationships/worksheet" Target="worksheets/sheet315.xml"/><Relationship Id="rId316" Type="http://schemas.openxmlformats.org/officeDocument/2006/relationships/worksheet" Target="worksheets/sheet316.xml"/><Relationship Id="rId317" Type="http://schemas.openxmlformats.org/officeDocument/2006/relationships/worksheet" Target="worksheets/sheet317.xml"/><Relationship Id="rId318" Type="http://schemas.openxmlformats.org/officeDocument/2006/relationships/worksheet" Target="worksheets/sheet318.xml"/><Relationship Id="rId319" Type="http://schemas.openxmlformats.org/officeDocument/2006/relationships/worksheet" Target="worksheets/sheet319.xml"/><Relationship Id="rId320" Type="http://schemas.openxmlformats.org/officeDocument/2006/relationships/worksheet" Target="worksheets/sheet320.xml"/><Relationship Id="rId321" Type="http://schemas.openxmlformats.org/officeDocument/2006/relationships/worksheet" Target="worksheets/sheet321.xml"/><Relationship Id="rId322" Type="http://schemas.openxmlformats.org/officeDocument/2006/relationships/worksheet" Target="worksheets/sheet322.xml"/><Relationship Id="rId323" Type="http://schemas.openxmlformats.org/officeDocument/2006/relationships/worksheet" Target="worksheets/sheet323.xml"/><Relationship Id="rId324" Type="http://schemas.openxmlformats.org/officeDocument/2006/relationships/worksheet" Target="worksheets/sheet324.xml"/><Relationship Id="rId325" Type="http://schemas.openxmlformats.org/officeDocument/2006/relationships/worksheet" Target="worksheets/sheet325.xml"/><Relationship Id="rId326" Type="http://schemas.openxmlformats.org/officeDocument/2006/relationships/worksheet" Target="worksheets/sheet326.xml"/><Relationship Id="rId327" Type="http://schemas.openxmlformats.org/officeDocument/2006/relationships/worksheet" Target="worksheets/sheet327.xml"/><Relationship Id="rId328" Type="http://schemas.openxmlformats.org/officeDocument/2006/relationships/worksheet" Target="worksheets/sheet328.xml"/><Relationship Id="rId329" Type="http://schemas.openxmlformats.org/officeDocument/2006/relationships/worksheet" Target="worksheets/sheet329.xml"/><Relationship Id="rId330" Type="http://schemas.openxmlformats.org/officeDocument/2006/relationships/worksheet" Target="worksheets/sheet330.xml"/><Relationship Id="rId331" Type="http://schemas.openxmlformats.org/officeDocument/2006/relationships/worksheet" Target="worksheets/sheet331.xml"/><Relationship Id="rId332" Type="http://schemas.openxmlformats.org/officeDocument/2006/relationships/worksheet" Target="worksheets/sheet332.xml"/><Relationship Id="rId333" Type="http://schemas.openxmlformats.org/officeDocument/2006/relationships/worksheet" Target="worksheets/sheet333.xml"/><Relationship Id="rId334" Type="http://schemas.openxmlformats.org/officeDocument/2006/relationships/worksheet" Target="worksheets/sheet334.xml"/><Relationship Id="rId335" Type="http://schemas.openxmlformats.org/officeDocument/2006/relationships/worksheet" Target="worksheets/sheet335.xml"/><Relationship Id="rId336" Type="http://schemas.openxmlformats.org/officeDocument/2006/relationships/worksheet" Target="worksheets/sheet336.xml"/><Relationship Id="rId337" Type="http://schemas.openxmlformats.org/officeDocument/2006/relationships/worksheet" Target="worksheets/sheet337.xml"/><Relationship Id="rId338" Type="http://schemas.openxmlformats.org/officeDocument/2006/relationships/worksheet" Target="worksheets/sheet338.xml"/><Relationship Id="rId339" Type="http://schemas.openxmlformats.org/officeDocument/2006/relationships/worksheet" Target="worksheets/sheet339.xml"/><Relationship Id="rId340" Type="http://schemas.openxmlformats.org/officeDocument/2006/relationships/worksheet" Target="worksheets/sheet340.xml"/><Relationship Id="rId341" Type="http://schemas.openxmlformats.org/officeDocument/2006/relationships/worksheet" Target="worksheets/sheet341.xml"/><Relationship Id="rId342" Type="http://schemas.openxmlformats.org/officeDocument/2006/relationships/worksheet" Target="worksheets/sheet342.xml"/><Relationship Id="rId343" Type="http://schemas.openxmlformats.org/officeDocument/2006/relationships/worksheet" Target="worksheets/sheet343.xml"/><Relationship Id="rId344" Type="http://schemas.openxmlformats.org/officeDocument/2006/relationships/worksheet" Target="worksheets/sheet344.xml"/><Relationship Id="rId345" Type="http://schemas.openxmlformats.org/officeDocument/2006/relationships/worksheet" Target="worksheets/sheet345.xml"/><Relationship Id="rId346" Type="http://schemas.openxmlformats.org/officeDocument/2006/relationships/worksheet" Target="worksheets/sheet346.xml"/><Relationship Id="rId347" Type="http://schemas.openxmlformats.org/officeDocument/2006/relationships/worksheet" Target="worksheets/sheet347.xml"/><Relationship Id="rId348" Type="http://schemas.openxmlformats.org/officeDocument/2006/relationships/worksheet" Target="worksheets/sheet348.xml"/><Relationship Id="rId349" Type="http://schemas.openxmlformats.org/officeDocument/2006/relationships/worksheet" Target="worksheets/sheet349.xml"/><Relationship Id="rId350" Type="http://schemas.openxmlformats.org/officeDocument/2006/relationships/worksheet" Target="worksheets/sheet350.xml"/><Relationship Id="rId351" Type="http://schemas.openxmlformats.org/officeDocument/2006/relationships/worksheet" Target="worksheets/sheet351.xml"/><Relationship Id="rId352" Type="http://schemas.openxmlformats.org/officeDocument/2006/relationships/worksheet" Target="worksheets/sheet352.xml"/><Relationship Id="rId353" Type="http://schemas.openxmlformats.org/officeDocument/2006/relationships/worksheet" Target="worksheets/sheet353.xml"/><Relationship Id="rId354" Type="http://schemas.openxmlformats.org/officeDocument/2006/relationships/worksheet" Target="worksheets/sheet354.xml"/><Relationship Id="rId355" Type="http://schemas.openxmlformats.org/officeDocument/2006/relationships/worksheet" Target="worksheets/sheet355.xml"/><Relationship Id="rId356" Type="http://schemas.openxmlformats.org/officeDocument/2006/relationships/worksheet" Target="worksheets/sheet356.xml"/><Relationship Id="rId357" Type="http://schemas.openxmlformats.org/officeDocument/2006/relationships/worksheet" Target="worksheets/sheet357.xml"/><Relationship Id="rId358" Type="http://schemas.openxmlformats.org/officeDocument/2006/relationships/worksheet" Target="worksheets/sheet358.xml"/><Relationship Id="rId359" Type="http://schemas.openxmlformats.org/officeDocument/2006/relationships/worksheet" Target="worksheets/sheet359.xml"/><Relationship Id="rId360" Type="http://schemas.openxmlformats.org/officeDocument/2006/relationships/worksheet" Target="worksheets/sheet360.xml"/><Relationship Id="rId361" Type="http://schemas.openxmlformats.org/officeDocument/2006/relationships/worksheet" Target="worksheets/sheet361.xml"/><Relationship Id="rId362" Type="http://schemas.openxmlformats.org/officeDocument/2006/relationships/worksheet" Target="worksheets/sheet362.xml"/><Relationship Id="rId363" Type="http://schemas.openxmlformats.org/officeDocument/2006/relationships/worksheet" Target="worksheets/sheet363.xml"/><Relationship Id="rId364" Type="http://schemas.openxmlformats.org/officeDocument/2006/relationships/worksheet" Target="worksheets/sheet364.xml"/><Relationship Id="rId365" Type="http://schemas.openxmlformats.org/officeDocument/2006/relationships/worksheet" Target="worksheets/sheet365.xml"/><Relationship Id="rId366" Type="http://schemas.openxmlformats.org/officeDocument/2006/relationships/worksheet" Target="worksheets/sheet366.xml"/><Relationship Id="rId367" Type="http://schemas.openxmlformats.org/officeDocument/2006/relationships/worksheet" Target="worksheets/sheet367.xml"/><Relationship Id="rId368" Type="http://schemas.openxmlformats.org/officeDocument/2006/relationships/worksheet" Target="worksheets/sheet368.xml"/><Relationship Id="rId369" Type="http://schemas.openxmlformats.org/officeDocument/2006/relationships/worksheet" Target="worksheets/sheet369.xml"/><Relationship Id="rId370" Type="http://schemas.openxmlformats.org/officeDocument/2006/relationships/worksheet" Target="worksheets/sheet370.xml"/><Relationship Id="rId371" Type="http://schemas.openxmlformats.org/officeDocument/2006/relationships/worksheet" Target="worksheets/sheet371.xml"/><Relationship Id="rId372" Type="http://schemas.openxmlformats.org/officeDocument/2006/relationships/worksheet" Target="worksheets/sheet372.xml"/><Relationship Id="rId373" Type="http://schemas.openxmlformats.org/officeDocument/2006/relationships/worksheet" Target="worksheets/sheet373.xml"/><Relationship Id="rId374" Type="http://schemas.openxmlformats.org/officeDocument/2006/relationships/worksheet" Target="worksheets/sheet374.xml"/><Relationship Id="rId375" Type="http://schemas.openxmlformats.org/officeDocument/2006/relationships/worksheet" Target="worksheets/sheet375.xml"/><Relationship Id="rId376" Type="http://schemas.openxmlformats.org/officeDocument/2006/relationships/worksheet" Target="worksheets/sheet376.xml"/><Relationship Id="rId377" Type="http://schemas.openxmlformats.org/officeDocument/2006/relationships/worksheet" Target="worksheets/sheet377.xml"/><Relationship Id="rId378" Type="http://schemas.openxmlformats.org/officeDocument/2006/relationships/worksheet" Target="worksheets/sheet378.xml"/><Relationship Id="rId379" Type="http://schemas.openxmlformats.org/officeDocument/2006/relationships/worksheet" Target="worksheets/sheet379.xml"/><Relationship Id="rId380" Type="http://schemas.openxmlformats.org/officeDocument/2006/relationships/worksheet" Target="worksheets/sheet380.xml"/><Relationship Id="rId381" Type="http://schemas.openxmlformats.org/officeDocument/2006/relationships/worksheet" Target="worksheets/sheet381.xml"/><Relationship Id="rId382" Type="http://schemas.openxmlformats.org/officeDocument/2006/relationships/worksheet" Target="worksheets/sheet382.xml"/><Relationship Id="rId383" Type="http://schemas.openxmlformats.org/officeDocument/2006/relationships/worksheet" Target="worksheets/sheet383.xml"/><Relationship Id="rId384" Type="http://schemas.openxmlformats.org/officeDocument/2006/relationships/worksheet" Target="worksheets/sheet384.xml"/><Relationship Id="rId385" Type="http://schemas.openxmlformats.org/officeDocument/2006/relationships/worksheet" Target="worksheets/sheet385.xml"/><Relationship Id="rId386" Type="http://schemas.openxmlformats.org/officeDocument/2006/relationships/worksheet" Target="worksheets/sheet386.xml"/><Relationship Id="rId387" Type="http://schemas.openxmlformats.org/officeDocument/2006/relationships/worksheet" Target="worksheets/sheet387.xml"/><Relationship Id="rId388" Type="http://schemas.openxmlformats.org/officeDocument/2006/relationships/worksheet" Target="worksheets/sheet388.xml"/><Relationship Id="rId389" Type="http://schemas.openxmlformats.org/officeDocument/2006/relationships/worksheet" Target="worksheets/sheet389.xml"/><Relationship Id="rId390" Type="http://schemas.openxmlformats.org/officeDocument/2006/relationships/worksheet" Target="worksheets/sheet390.xml"/><Relationship Id="rId391" Type="http://schemas.openxmlformats.org/officeDocument/2006/relationships/worksheet" Target="worksheets/sheet391.xml"/><Relationship Id="rId392" Type="http://schemas.openxmlformats.org/officeDocument/2006/relationships/worksheet" Target="worksheets/sheet392.xml"/><Relationship Id="rId393" Type="http://schemas.openxmlformats.org/officeDocument/2006/relationships/worksheet" Target="worksheets/sheet393.xml"/><Relationship Id="rId394" Type="http://schemas.openxmlformats.org/officeDocument/2006/relationships/worksheet" Target="worksheets/sheet394.xml"/><Relationship Id="rId395" Type="http://schemas.openxmlformats.org/officeDocument/2006/relationships/worksheet" Target="worksheets/sheet395.xml"/><Relationship Id="rId396" Type="http://schemas.openxmlformats.org/officeDocument/2006/relationships/worksheet" Target="worksheets/sheet396.xml"/><Relationship Id="rId397" Type="http://schemas.openxmlformats.org/officeDocument/2006/relationships/worksheet" Target="worksheets/sheet397.xml"/><Relationship Id="rId398" Type="http://schemas.openxmlformats.org/officeDocument/2006/relationships/worksheet" Target="worksheets/sheet398.xml"/><Relationship Id="rId399" Type="http://schemas.openxmlformats.org/officeDocument/2006/relationships/worksheet" Target="worksheets/sheet399.xml"/><Relationship Id="rId400" Type="http://schemas.openxmlformats.org/officeDocument/2006/relationships/worksheet" Target="worksheets/sheet400.xml"/><Relationship Id="rId401" Type="http://schemas.openxmlformats.org/officeDocument/2006/relationships/worksheet" Target="worksheets/sheet401.xml"/><Relationship Id="rId402" Type="http://schemas.openxmlformats.org/officeDocument/2006/relationships/worksheet" Target="worksheets/sheet402.xml"/><Relationship Id="rId403" Type="http://schemas.openxmlformats.org/officeDocument/2006/relationships/worksheet" Target="worksheets/sheet403.xml"/><Relationship Id="rId404" Type="http://schemas.openxmlformats.org/officeDocument/2006/relationships/worksheet" Target="worksheets/sheet404.xml"/><Relationship Id="rId405" Type="http://schemas.openxmlformats.org/officeDocument/2006/relationships/worksheet" Target="worksheets/sheet405.xml"/><Relationship Id="rId406" Type="http://schemas.openxmlformats.org/officeDocument/2006/relationships/worksheet" Target="worksheets/sheet406.xml"/><Relationship Id="rId407" Type="http://schemas.openxmlformats.org/officeDocument/2006/relationships/worksheet" Target="worksheets/sheet407.xml"/><Relationship Id="rId408" Type="http://schemas.openxmlformats.org/officeDocument/2006/relationships/worksheet" Target="worksheets/sheet408.xml"/><Relationship Id="rId409" Type="http://schemas.openxmlformats.org/officeDocument/2006/relationships/worksheet" Target="worksheets/sheet409.xml"/><Relationship Id="rId410" Type="http://schemas.openxmlformats.org/officeDocument/2006/relationships/theme" Target="theme/theme1.xml"/><Relationship Id="rId411" Type="http://schemas.openxmlformats.org/officeDocument/2006/relationships/styles" Target="styles.xml"/><Relationship Id="rId41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2">
      <c r="B2">
        <f t="shared" si="0">'Q1'!A1</f>
      </c>
    </row>
    <row r="3">
      <c r="B3">
        <f t="shared" si="0"/>
      </c>
    </row>
  </sheetData>
  <ignoredErrors>
    <ignoredError numberStoredAsText="1" sqref="A1:D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2">
      <c r="B2">
        <f t="shared" si="0">'Q1''s 年'!A1</f>
      </c>
    </row>
    <row r="3">
      <c r="B3">
        <f t="shared" si="0"/>
      </c>
    </row>
  </sheetData>
  <ignoredErrors>
    <ignoredError numberStoredAsText="1" sqref="A1:D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2">
      <c r="B2">
        <f t="shared" si="0">SUM(Table1[A1])+A1</f>
      </c>
    </row>
    <row r="3">
      <c r="B3">
        <f t="shared" si="0"/>
      </c>
    </row>
  </sheetData>
  <ignoredErrors>
    <ignoredError numberStoredAsText="1" sqref="A1:D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2">
      <c r="B2">
        <f t="shared" si="0">SUM(Table1[[#Data],[A1]:[B2]])+A1</f>
      </c>
    </row>
    <row r="3">
      <c r="B3">
        <f t="shared" si="0"/>
      </c>
    </row>
  </sheetData>
  <ignoredErrors>
    <ignoredError numberStoredAsText="1" sqref="A1:D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2">
      <c r="B2">
        <f t="shared" si="0">Q1年!A1</f>
      </c>
    </row>
    <row r="3">
      <c r="B3">
        <f t="shared" si="0"/>
      </c>
    </row>
  </sheetData>
  <ignoredErrors>
    <ignoredError numberStoredAsText="1" sqref="A1:D4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2">
      <c r="B2">
        <f t="shared" si="0">ΩA1+A1</f>
      </c>
    </row>
    <row r="3">
      <c r="B3">
        <f t="shared" si="0"/>
      </c>
    </row>
  </sheetData>
  <ignoredErrors>
    <ignoredError numberStoredAsText="1" sqref="A1:D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2">
      <c r="B2">
        <f t="shared" si="0">A1é+A1</f>
      </c>
    </row>
    <row r="3">
      <c r="B3">
        <f t="shared" si="0"/>
      </c>
    </row>
  </sheetData>
  <ignoredErrors>
    <ignoredError numberStoredAsText="1" sqref="A1:D4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2">
      <c r="B2">
        <f t="shared" si="0">SUM(A1:INDEX(A:A,10))</f>
      </c>
    </row>
    <row r="3">
      <c r="B3">
        <f t="shared" si="0"/>
      </c>
    </row>
  </sheetData>
  <ignoredErrors>
    <ignoredError numberStoredAsText="1" sqref="A1:D4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2">
      <c r="B2">
        <f t="shared" si="0">SUM(A1:LastCell)</f>
      </c>
    </row>
    <row r="3">
      <c r="B3">
        <f t="shared" si="0"/>
      </c>
    </row>
  </sheetData>
  <ignoredErrors>
    <ignoredError numberStoredAsText="1" sqref="A1:D4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2">
      <c r="B2">
        <f t="shared" si="0">SUM(A1: A3)</f>
      </c>
    </row>
    <row r="3">
      <c r="B3">
        <f t="shared" si="0"/>
      </c>
    </row>
  </sheetData>
  <ignoredErrors>
    <ignoredError numberStoredAsText="1" sqref="A1:D4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2">
      <c r="B2">
        <f t="shared" si="0">SUM(Q1:Q3!A1)</f>
      </c>
    </row>
    <row r="3">
      <c r="B3">
        <f t="shared" si="0"/>
      </c>
    </row>
  </sheetData>
  <ignoredErrors>
    <ignoredError numberStoredAsText="1" sqref="A1:D4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2">
      <c r="B2">
        <f t="shared" si="0">"A1"&amp;A1</f>
      </c>
    </row>
    <row r="3">
      <c r="B3">
        <f t="shared" si="0"/>
      </c>
    </row>
  </sheetData>
  <ignoredErrors>
    <ignoredError numberStoredAsText="1" sqref="A1:D4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2">
      <c r="B2">
        <f t="shared" si="0">"A1""B2"&amp;A1</f>
      </c>
    </row>
    <row r="3">
      <c r="B3">
        <f t="shared" si="0"/>
      </c>
    </row>
  </sheetData>
  <ignoredErrors>
    <ignoredError numberStoredAsText="1" sqref="A1:D4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2">
      <c r="B2">
        <f t="shared" si="0">SUM(A:A)</f>
      </c>
    </row>
    <row r="3">
      <c r="C2">
        <f t="shared" si="0"/>
      </c>
    </row>
  </sheetData>
  <ignoredErrors>
    <ignoredError numberStoredAsText="1" sqref="A1:D4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2">
      <c r="B2">
        <f t="shared" si="0">SUM(1:1)</f>
      </c>
    </row>
    <row r="3">
      <c r="B3">
        <f t="shared" si="0"/>
      </c>
    </row>
  </sheetData>
  <ignoredErrors>
    <ignoredError numberStoredAsText="1" sqref="A1:D4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2">
      <c r="B2">
        <f t="shared" si="0">SUM($A:B)</f>
      </c>
    </row>
    <row r="3">
      <c r="C2">
        <f t="shared" si="0"/>
      </c>
    </row>
  </sheetData>
  <ignoredErrors>
    <ignoredError numberStoredAsText="1" sqref="A1:D4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2">
      <c r="B2">
        <f t="shared" si="0">SUM($1:2)</f>
      </c>
    </row>
    <row r="3">
      <c r="B3">
        <f t="shared" si="0"/>
      </c>
    </row>
  </sheetData>
  <ignoredErrors>
    <ignoredError numberStoredAsText="1" sqref="A1:D4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2">
      <c r="B2">
        <f t="shared" si="0">a1</f>
      </c>
    </row>
    <row r="3">
      <c r="C3">
        <f t="shared" si="0"/>
      </c>
    </row>
  </sheetData>
  <ignoredErrors>
    <ignoredError numberStoredAsText="1" sqref="A1:D4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2">
      <c r="B2">
        <f t="shared" si="0">A1+$B1+C$1+$D$1</f>
      </c>
    </row>
    <row r="3">
      <c r="C3">
        <f t="shared" si="0"/>
      </c>
    </row>
  </sheetData>
  <ignoredErrors>
    <ignoredError numberStoredAsText="1" sqref="A1:D4"/>
  </ignoredErrors>
</worksheet>
</file>

<file path=xl/worksheets/sheet20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2">
      <c r="B2">
        <f t="shared" si="0">LOG10(A1)</f>
      </c>
    </row>
    <row r="3">
      <c r="B3">
        <f t="shared" si="0"/>
      </c>
    </row>
  </sheetData>
  <ignoredErrors>
    <ignoredError numberStoredAsText="1" sqref="A1:D4"/>
  </ignoredErrors>
</worksheet>
</file>

<file path=xl/worksheets/sheet21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2">
      <c r="B2">
        <f t="shared" si="0">XFE1+A1048577+A1</f>
      </c>
    </row>
    <row r="3">
      <c r="B3">
        <f t="shared" si="0"/>
      </c>
    </row>
  </sheetData>
  <ignoredErrors>
    <ignoredError numberStoredAsText="1" sqref="A1:D4"/>
  </ignoredErrors>
</worksheet>
</file>

<file path=xl/worksheets/sheet22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2">
      <c r="B2">
        <f t="shared" si="0">'Q1'!LastCell+A1</f>
      </c>
    </row>
    <row r="3">
      <c r="B3">
        <f t="shared" si="0"/>
      </c>
    </row>
  </sheetData>
  <ignoredErrors>
    <ignoredError numberStoredAsText="1" sqref="A1:D4"/>
  </ignoredErrors>
</worksheet>
</file>

<file path=xl/worksheets/sheet2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2">
      <c r="B2">
        <f t="shared" si="0">'[1]Q1'!A1</f>
      </c>
    </row>
    <row r="3">
      <c r="B3">
        <f t="shared" si="0"/>
      </c>
    </row>
  </sheetData>
  <ignoredErrors>
    <ignoredError numberStoredAsText="1" sqref="A1:D4"/>
  </ignoredErrors>
</worksheet>
</file>

<file path=xl/worksheets/sheet24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2">
      <c r="B2">
        <f t="shared" si="0">SUM((A1,B2))</f>
      </c>
    </row>
    <row r="3">
      <c r="B3">
        <f t="shared" si="0"/>
      </c>
    </row>
  </sheetData>
  <ignoredErrors>
    <ignoredError numberStoredAsText="1" sqref="A1:D4"/>
  </ignoredErrors>
</worksheet>
</file>

<file path=xl/worksheets/sheet25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2">
      <c r="B2">
        <f t="shared" si="0">SUM(A1:B3 B2:C4)</f>
      </c>
    </row>
    <row r="3">
      <c r="B3">
        <f t="shared" si="0"/>
      </c>
    </row>
  </sheetData>
  <ignoredErrors>
    <ignoredError numberStoredAsText="1" sqref="A1:D4"/>
  </ignoredErrors>
</worksheet>
</file>

<file path=xl/worksheets/sheet26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2">
      <c r="B2">
        <f t="shared" si="0">RC+R1C1+R[-1]C[2]+A1</f>
      </c>
    </row>
    <row r="3">
      <c r="B3">
        <f t="shared" si="0"/>
      </c>
    </row>
  </sheetData>
  <ignoredErrors>
    <ignoredError numberStoredAsText="1" sqref="A1:D4"/>
  </ignoredErrors>
</worksheet>
</file>

<file path=xl/worksheets/sheet27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2">
      <c r="B2">
        <f t="shared" si="0">{"A1",1;"B2",2}&amp;A1</f>
      </c>
    </row>
    <row r="3">
      <c r="B3">
        <f t="shared" si="0"/>
      </c>
    </row>
  </sheetData>
  <ignoredErrors>
    <ignoredError numberStoredAsText="1" sqref="A1:D4"/>
  </ignoredErrors>
</worksheet>
</file>

<file path=xl/worksheets/sheet28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2">
      <c r="B2">
        <f t="shared" si="0">1E10+A1</f>
      </c>
    </row>
    <row r="3">
      <c r="B3">
        <f t="shared" si="0"/>
      </c>
    </row>
  </sheetData>
  <ignoredErrors>
    <ignoredError numberStoredAsText="1" sqref="A1:D4"/>
  </ignoredErrors>
</worksheet>
</file>

<file path=xl/worksheets/sheet29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2">
      <c r="B2">
        <f t="shared" si="0">SUM(A1:OFFSET(A1,2,0))</f>
      </c>
    </row>
    <row r="3">
      <c r="B3">
        <f t="shared" si="0"/>
      </c>
    </row>
  </sheetData>
  <ignoredErrors>
    <ignoredError numberStoredAsText="1" sqref="A1:D4"/>
  </ignoredErrors>
</worksheet>
</file>

<file path=xl/worksheets/sheet30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2">
      <c r="B2">
        <f t="shared" si="0">SUM((A1):INDEX(A:A,10))</f>
      </c>
    </row>
    <row r="3">
      <c r="B3">
        <f t="shared" si="0"/>
      </c>
    </row>
  </sheetData>
  <ignoredErrors>
    <ignoredError numberStoredAsText="1" sqref="A1:D4"/>
  </ignoredErrors>
</worksheet>
</file>

<file path=xl/worksheets/sheet31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2">
      <c r="B2">
        <f t="shared" si="0">A1+A1</f>
      </c>
    </row>
    <row r="3">
      <c r="C3">
        <f t="shared" si="0"/>
      </c>
    </row>
  </sheetData>
  <ignoredErrors>
    <ignoredError numberStoredAsText="1" sqref="A1:D4"/>
  </ignoredErrors>
</worksheet>
</file>

<file path=xl/worksheets/sheet32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2">
      <c r="B2">
        <f t="shared" si="0">SUM(A1,A1)</f>
      </c>
    </row>
    <row r="3">
      <c r="C3">
        <f t="shared" si="0"/>
      </c>
    </row>
  </sheetData>
  <ignoredErrors>
    <ignoredError numberStoredAsText="1" sqref="A1:D4"/>
  </ignoredErrors>
</worksheet>
</file>

<file path=xl/worksheets/sheet3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2">
      <c r="B2">
        <f t="shared" si="0">IF(TRUE,A1,A1)</f>
      </c>
    </row>
    <row r="3">
      <c r="C3">
        <f t="shared" si="0"/>
      </c>
    </row>
  </sheetData>
  <ignoredErrors>
    <ignoredError numberStoredAsText="1" sqref="A1:D4"/>
  </ignoredErrors>
</worksheet>
</file>

<file path=xl/worksheets/sheet34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2">
      <c r="B2">
        <f t="shared" si="0">A1&amp;"A1"</f>
      </c>
    </row>
    <row r="3">
      <c r="C3">
        <f t="shared" si="0"/>
      </c>
    </row>
  </sheetData>
  <ignoredErrors>
    <ignoredError numberStoredAsText="1" sqref="A1:D4"/>
  </ignoredErrors>
</worksheet>
</file>

<file path=xl/worksheets/sheet35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2">
      <c r="B2">
        <f t="shared" si="0">$A1+A1</f>
      </c>
    </row>
    <row r="3">
      <c r="C3">
        <f t="shared" si="0"/>
      </c>
    </row>
  </sheetData>
  <ignoredErrors>
    <ignoredError numberStoredAsText="1" sqref="A1:D4"/>
  </ignoredErrors>
</worksheet>
</file>

<file path=xl/worksheets/sheet36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2">
      <c r="B2">
        <f t="shared" si="0">SUM($A1,A1)</f>
      </c>
    </row>
    <row r="3">
      <c r="C3">
        <f t="shared" si="0"/>
      </c>
    </row>
  </sheetData>
  <ignoredErrors>
    <ignoredError numberStoredAsText="1" sqref="A1:D4"/>
  </ignoredErrors>
</worksheet>
</file>

<file path=xl/worksheets/sheet37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2">
      <c r="B2">
        <f t="shared" si="0">IF(TRUE,$A1,A1)</f>
      </c>
    </row>
    <row r="3">
      <c r="C3">
        <f t="shared" si="0"/>
      </c>
    </row>
  </sheetData>
  <ignoredErrors>
    <ignoredError numberStoredAsText="1" sqref="A1:D4"/>
  </ignoredErrors>
</worksheet>
</file>

<file path=xl/worksheets/sheet38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2">
      <c r="B2">
        <f t="shared" si="0">$A1&amp;"A1"</f>
      </c>
    </row>
    <row r="3">
      <c r="C3">
        <f t="shared" si="0"/>
      </c>
    </row>
  </sheetData>
  <ignoredErrors>
    <ignoredError numberStoredAsText="1" sqref="A1:D4"/>
  </ignoredErrors>
</worksheet>
</file>

<file path=xl/worksheets/sheet39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2">
      <c r="B2">
        <f t="shared" si="0">A$1+A1</f>
      </c>
    </row>
    <row r="3">
      <c r="C3">
        <f t="shared" si="0"/>
      </c>
    </row>
  </sheetData>
  <ignoredErrors>
    <ignoredError numberStoredAsText="1" sqref="A1:D4"/>
  </ignoredErrors>
</worksheet>
</file>

<file path=xl/worksheets/sheet40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2">
      <c r="B2">
        <f t="shared" si="0">SUM(A$1,A1)</f>
      </c>
    </row>
    <row r="3">
      <c r="C3">
        <f t="shared" si="0"/>
      </c>
    </row>
  </sheetData>
  <ignoredErrors>
    <ignoredError numberStoredAsText="1" sqref="A1:D4"/>
  </ignoredErrors>
</worksheet>
</file>

<file path=xl/worksheets/sheet41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2">
      <c r="B2">
        <f t="shared" si="0">IF(TRUE,A$1,A1)</f>
      </c>
    </row>
    <row r="3">
      <c r="C3">
        <f t="shared" si="0"/>
      </c>
    </row>
  </sheetData>
  <ignoredErrors>
    <ignoredError numberStoredAsText="1" sqref="A1:D4"/>
  </ignoredErrors>
</worksheet>
</file>

<file path=xl/worksheets/sheet42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2">
      <c r="B2">
        <f t="shared" si="0">A$1&amp;"A1"</f>
      </c>
    </row>
    <row r="3">
      <c r="C3">
        <f t="shared" si="0"/>
      </c>
    </row>
  </sheetData>
  <ignoredErrors>
    <ignoredError numberStoredAsText="1" sqref="A1:D4"/>
  </ignoredErrors>
</worksheet>
</file>

<file path=xl/worksheets/sheet4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2">
      <c r="B2">
        <f t="shared" si="0">$A$1+A1</f>
      </c>
    </row>
    <row r="3">
      <c r="C3">
        <f t="shared" si="0"/>
      </c>
    </row>
  </sheetData>
  <ignoredErrors>
    <ignoredError numberStoredAsText="1" sqref="A1:D4"/>
  </ignoredErrors>
</worksheet>
</file>

<file path=xl/worksheets/sheet44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2">
      <c r="B2">
        <f t="shared" si="0">SUM($A$1,A1)</f>
      </c>
    </row>
    <row r="3">
      <c r="C3">
        <f t="shared" si="0"/>
      </c>
    </row>
  </sheetData>
  <ignoredErrors>
    <ignoredError numberStoredAsText="1" sqref="A1:D4"/>
  </ignoredErrors>
</worksheet>
</file>

<file path=xl/worksheets/sheet45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2">
      <c r="B2">
        <f t="shared" si="0">IF(TRUE,$A$1,A1)</f>
      </c>
    </row>
    <row r="3">
      <c r="C3">
        <f t="shared" si="0"/>
      </c>
    </row>
  </sheetData>
  <ignoredErrors>
    <ignoredError numberStoredAsText="1" sqref="A1:D4"/>
  </ignoredErrors>
</worksheet>
</file>

<file path=xl/worksheets/sheet46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2">
      <c r="B2">
        <f t="shared" si="0">$A$1&amp;"A1"</f>
      </c>
    </row>
    <row r="3">
      <c r="C3">
        <f t="shared" si="0"/>
      </c>
    </row>
  </sheetData>
  <ignoredErrors>
    <ignoredError numberStoredAsText="1" sqref="A1:D4"/>
  </ignoredErrors>
</worksheet>
</file>

<file path=xl/worksheets/sheet47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2">
      <c r="B2">
        <f t="shared" si="0">a1+A1</f>
      </c>
    </row>
    <row r="3">
      <c r="C3">
        <f t="shared" si="0"/>
      </c>
    </row>
  </sheetData>
  <ignoredErrors>
    <ignoredError numberStoredAsText="1" sqref="A1:D4"/>
  </ignoredErrors>
</worksheet>
</file>

<file path=xl/worksheets/sheet48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2">
      <c r="B2">
        <f t="shared" si="0">SUM(a1,A1)</f>
      </c>
    </row>
    <row r="3">
      <c r="C3">
        <f t="shared" si="0"/>
      </c>
    </row>
  </sheetData>
  <ignoredErrors>
    <ignoredError numberStoredAsText="1" sqref="A1:D4"/>
  </ignoredErrors>
</worksheet>
</file>

<file path=xl/worksheets/sheet49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2">
      <c r="B2">
        <f t="shared" si="0">IF(TRUE,a1,A1)</f>
      </c>
    </row>
    <row r="3">
      <c r="C3">
        <f t="shared" si="0"/>
      </c>
    </row>
  </sheetData>
  <ignoredErrors>
    <ignoredError numberStoredAsText="1" sqref="A1:D4"/>
  </ignoredErrors>
</worksheet>
</file>

<file path=xl/worksheets/sheet50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2">
      <c r="B2">
        <f t="shared" si="0">a1&amp;"A1"</f>
      </c>
    </row>
    <row r="3">
      <c r="C3">
        <f t="shared" si="0"/>
      </c>
    </row>
  </sheetData>
  <ignoredErrors>
    <ignoredError numberStoredAsText="1" sqref="A1:D4"/>
  </ignoredErrors>
</worksheet>
</file>

<file path=xl/worksheets/sheet51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2">
      <c r="B2">
        <f t="shared" si="0">$a1+A1</f>
      </c>
    </row>
    <row r="3">
      <c r="C3">
        <f t="shared" si="0"/>
      </c>
    </row>
  </sheetData>
  <ignoredErrors>
    <ignoredError numberStoredAsText="1" sqref="A1:D4"/>
  </ignoredErrors>
</worksheet>
</file>

<file path=xl/worksheets/sheet52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2">
      <c r="B2">
        <f t="shared" si="0">SUM($a1,A1)</f>
      </c>
    </row>
    <row r="3">
      <c r="C3">
        <f t="shared" si="0"/>
      </c>
    </row>
  </sheetData>
  <ignoredErrors>
    <ignoredError numberStoredAsText="1" sqref="A1:D4"/>
  </ignoredErrors>
</worksheet>
</file>

<file path=xl/worksheets/sheet5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2">
      <c r="B2">
        <f t="shared" si="0">IF(TRUE,$a1,A1)</f>
      </c>
    </row>
    <row r="3">
      <c r="C3">
        <f t="shared" si="0"/>
      </c>
    </row>
  </sheetData>
  <ignoredErrors>
    <ignoredError numberStoredAsText="1" sqref="A1:D4"/>
  </ignoredErrors>
</worksheet>
</file>

<file path=xl/worksheets/sheet54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2">
      <c r="B2">
        <f t="shared" si="0">$a1&amp;"A1"</f>
      </c>
    </row>
    <row r="3">
      <c r="C3">
        <f t="shared" si="0"/>
      </c>
    </row>
  </sheetData>
  <ignoredErrors>
    <ignoredError numberStoredAsText="1" sqref="A1:D4"/>
  </ignoredErrors>
</worksheet>
</file>

<file path=xl/worksheets/sheet55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2">
      <c r="B2">
        <f t="shared" si="0">a$1+A1</f>
      </c>
    </row>
    <row r="3">
      <c r="C3">
        <f t="shared" si="0"/>
      </c>
    </row>
  </sheetData>
  <ignoredErrors>
    <ignoredError numberStoredAsText="1" sqref="A1:D4"/>
  </ignoredErrors>
</worksheet>
</file>

<file path=xl/worksheets/sheet56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2">
      <c r="B2">
        <f t="shared" si="0">SUM(a$1,A1)</f>
      </c>
    </row>
    <row r="3">
      <c r="C3">
        <f t="shared" si="0"/>
      </c>
    </row>
  </sheetData>
  <ignoredErrors>
    <ignoredError numberStoredAsText="1" sqref="A1:D4"/>
  </ignoredErrors>
</worksheet>
</file>

<file path=xl/worksheets/sheet57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2">
      <c r="B2">
        <f t="shared" si="0">IF(TRUE,a$1,A1)</f>
      </c>
    </row>
    <row r="3">
      <c r="C3">
        <f t="shared" si="0"/>
      </c>
    </row>
  </sheetData>
  <ignoredErrors>
    <ignoredError numberStoredAsText="1" sqref="A1:D4"/>
  </ignoredErrors>
</worksheet>
</file>

<file path=xl/worksheets/sheet58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2">
      <c r="B2">
        <f t="shared" si="0">a$1&amp;"A1"</f>
      </c>
    </row>
    <row r="3">
      <c r="C3">
        <f t="shared" si="0"/>
      </c>
    </row>
  </sheetData>
  <ignoredErrors>
    <ignoredError numberStoredAsText="1" sqref="A1:D4"/>
  </ignoredErrors>
</worksheet>
</file>

<file path=xl/worksheets/sheet59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2">
      <c r="B2">
        <f t="shared" si="0">$a$1+A1</f>
      </c>
    </row>
    <row r="3">
      <c r="C3">
        <f t="shared" si="0"/>
      </c>
    </row>
  </sheetData>
  <ignoredErrors>
    <ignoredError numberStoredAsText="1" sqref="A1:D4"/>
  </ignoredErrors>
</worksheet>
</file>

<file path=xl/worksheets/sheet60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2">
      <c r="B2">
        <f t="shared" si="0">SUM($a$1,A1)</f>
      </c>
    </row>
    <row r="3">
      <c r="C3">
        <f t="shared" si="0"/>
      </c>
    </row>
  </sheetData>
  <ignoredErrors>
    <ignoredError numberStoredAsText="1" sqref="A1:D4"/>
  </ignoredErrors>
</worksheet>
</file>

<file path=xl/worksheets/sheet61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2">
      <c r="B2">
        <f t="shared" si="0">IF(TRUE,$a$1,A1)</f>
      </c>
    </row>
    <row r="3">
      <c r="C3">
        <f t="shared" si="0"/>
      </c>
    </row>
  </sheetData>
  <ignoredErrors>
    <ignoredError numberStoredAsText="1" sqref="A1:D4"/>
  </ignoredErrors>
</worksheet>
</file>

<file path=xl/worksheets/sheet62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2">
      <c r="B2">
        <f t="shared" si="0">$a$1&amp;"A1"</f>
      </c>
    </row>
    <row r="3">
      <c r="C3">
        <f t="shared" si="0"/>
      </c>
    </row>
  </sheetData>
  <ignoredErrors>
    <ignoredError numberStoredAsText="1" sqref="A1:D4"/>
  </ignoredErrors>
</worksheet>
</file>

<file path=xl/worksheets/sheet6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2">
      <c r="B2">
        <f t="shared" si="0">Q1!A1+A1</f>
      </c>
    </row>
    <row r="3">
      <c r="C3">
        <f t="shared" si="0"/>
      </c>
    </row>
  </sheetData>
  <ignoredErrors>
    <ignoredError numberStoredAsText="1" sqref="A1:D4"/>
  </ignoredErrors>
</worksheet>
</file>

<file path=xl/worksheets/sheet64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2">
      <c r="B2">
        <f t="shared" si="0">SUM(Q1!A1,A1)</f>
      </c>
    </row>
    <row r="3">
      <c r="C3">
        <f t="shared" si="0"/>
      </c>
    </row>
  </sheetData>
  <ignoredErrors>
    <ignoredError numberStoredAsText="1" sqref="A1:D4"/>
  </ignoredErrors>
</worksheet>
</file>

<file path=xl/worksheets/sheet65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2">
      <c r="B2">
        <f t="shared" si="0">IF(TRUE,Q1!A1,A1)</f>
      </c>
    </row>
    <row r="3">
      <c r="C3">
        <f t="shared" si="0"/>
      </c>
    </row>
  </sheetData>
  <ignoredErrors>
    <ignoredError numberStoredAsText="1" sqref="A1:D4"/>
  </ignoredErrors>
</worksheet>
</file>

<file path=xl/worksheets/sheet66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2">
      <c r="B2">
        <f t="shared" si="0">Q1!A1&amp;"A1"</f>
      </c>
    </row>
    <row r="3">
      <c r="C3">
        <f t="shared" si="0"/>
      </c>
    </row>
  </sheetData>
  <ignoredErrors>
    <ignoredError numberStoredAsText="1" sqref="A1:D4"/>
  </ignoredErrors>
</worksheet>
</file>

<file path=xl/worksheets/sheet67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2">
      <c r="B2">
        <f t="shared" si="0">'Q1'!A1+A1</f>
      </c>
    </row>
    <row r="3">
      <c r="C3">
        <f t="shared" si="0"/>
      </c>
    </row>
  </sheetData>
  <ignoredErrors>
    <ignoredError numberStoredAsText="1" sqref="A1:D4"/>
  </ignoredErrors>
</worksheet>
</file>

<file path=xl/worksheets/sheet68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2">
      <c r="B2">
        <f t="shared" si="0">SUM('Q1'!A1,A1)</f>
      </c>
    </row>
    <row r="3">
      <c r="C3">
        <f t="shared" si="0"/>
      </c>
    </row>
  </sheetData>
  <ignoredErrors>
    <ignoredError numberStoredAsText="1" sqref="A1:D4"/>
  </ignoredErrors>
</worksheet>
</file>

<file path=xl/worksheets/sheet69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2">
      <c r="B2">
        <f t="shared" si="0">IF(TRUE,'Q1'!A1,A1)</f>
      </c>
    </row>
    <row r="3">
      <c r="C3">
        <f t="shared" si="0"/>
      </c>
    </row>
  </sheetData>
  <ignoredErrors>
    <ignoredError numberStoredAsText="1" sqref="A1:D4"/>
  </ignoredErrors>
</worksheet>
</file>

<file path=xl/worksheets/sheet70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2">
      <c r="B2">
        <f t="shared" si="0">'Q1'!A1&amp;"A1"</f>
      </c>
    </row>
    <row r="3">
      <c r="C3">
        <f t="shared" si="0"/>
      </c>
    </row>
  </sheetData>
  <ignoredErrors>
    <ignoredError numberStoredAsText="1" sqref="A1:D4"/>
  </ignoredErrors>
</worksheet>
</file>

<file path=xl/worksheets/sheet71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2">
      <c r="B2">
        <f t="shared" si="0">Q1年!A1+A1</f>
      </c>
    </row>
    <row r="3">
      <c r="C3">
        <f t="shared" si="0"/>
      </c>
    </row>
  </sheetData>
  <ignoredErrors>
    <ignoredError numberStoredAsText="1" sqref="A1:D4"/>
  </ignoredErrors>
</worksheet>
</file>

<file path=xl/worksheets/sheet72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2">
      <c r="B2">
        <f t="shared" si="0">SUM(Q1年!A1,A1)</f>
      </c>
    </row>
    <row r="3">
      <c r="C3">
        <f t="shared" si="0"/>
      </c>
    </row>
  </sheetData>
  <ignoredErrors>
    <ignoredError numberStoredAsText="1" sqref="A1:D4"/>
  </ignoredErrors>
</worksheet>
</file>

<file path=xl/worksheets/sheet7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2">
      <c r="B2">
        <f t="shared" si="0">IF(TRUE,Q1年!A1,A1)</f>
      </c>
    </row>
    <row r="3">
      <c r="C3">
        <f t="shared" si="0"/>
      </c>
    </row>
  </sheetData>
  <ignoredErrors>
    <ignoredError numberStoredAsText="1" sqref="A1:D4"/>
  </ignoredErrors>
</worksheet>
</file>

<file path=xl/worksheets/sheet74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2">
      <c r="B2">
        <f t="shared" si="0">Q1年!A1&amp;"A1"</f>
      </c>
    </row>
    <row r="3">
      <c r="C3">
        <f t="shared" si="0"/>
      </c>
    </row>
  </sheetData>
  <ignoredErrors>
    <ignoredError numberStoredAsText="1" sqref="A1:D4"/>
  </ignoredErrors>
</worksheet>
</file>

<file path=xl/worksheets/sheet75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2">
      <c r="B2">
        <f t="shared" si="0">'Q1''s 年'!A1+A1</f>
      </c>
    </row>
    <row r="3">
      <c r="C3">
        <f t="shared" si="0"/>
      </c>
    </row>
  </sheetData>
  <ignoredErrors>
    <ignoredError numberStoredAsText="1" sqref="A1:D4"/>
  </ignoredErrors>
</worksheet>
</file>

<file path=xl/worksheets/sheet76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2">
      <c r="B2">
        <f t="shared" si="0">SUM('Q1''s 年'!A1,A1)</f>
      </c>
    </row>
    <row r="3">
      <c r="C3">
        <f t="shared" si="0"/>
      </c>
    </row>
  </sheetData>
  <ignoredErrors>
    <ignoredError numberStoredAsText="1" sqref="A1:D4"/>
  </ignoredErrors>
</worksheet>
</file>

<file path=xl/worksheets/sheet77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2">
      <c r="B2">
        <f t="shared" si="0">IF(TRUE,'Q1''s 年'!A1,A1)</f>
      </c>
    </row>
    <row r="3">
      <c r="C3">
        <f t="shared" si="0"/>
      </c>
    </row>
  </sheetData>
  <ignoredErrors>
    <ignoredError numberStoredAsText="1" sqref="A1:D4"/>
  </ignoredErrors>
</worksheet>
</file>

<file path=xl/worksheets/sheet78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2">
      <c r="B2">
        <f t="shared" si="0">'Q1''s 年'!A1&amp;"A1"</f>
      </c>
    </row>
    <row r="3">
      <c r="C3">
        <f t="shared" si="0"/>
      </c>
    </row>
  </sheetData>
  <ignoredErrors>
    <ignoredError numberStoredAsText="1" sqref="A1:D4"/>
  </ignoredErrors>
</worksheet>
</file>

<file path=xl/worksheets/sheet79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2">
      <c r="B2">
        <f t="shared" si="0">Q1:Q3!A1+A1</f>
      </c>
    </row>
    <row r="3">
      <c r="C3">
        <f t="shared" si="0"/>
      </c>
    </row>
  </sheetData>
  <ignoredErrors>
    <ignoredError numberStoredAsText="1" sqref="A1:D4"/>
  </ignoredErrors>
</worksheet>
</file>

<file path=xl/worksheets/sheet80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2">
      <c r="B2">
        <f t="shared" si="0">SUM(Q1:Q3!A1,A1)</f>
      </c>
    </row>
    <row r="3">
      <c r="C3">
        <f t="shared" si="0"/>
      </c>
    </row>
  </sheetData>
  <ignoredErrors>
    <ignoredError numberStoredAsText="1" sqref="A1:D4"/>
  </ignoredErrors>
</worksheet>
</file>

<file path=xl/worksheets/sheet81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2">
      <c r="B2">
        <f t="shared" si="0">IF(TRUE,Q1:Q3!A1,A1)</f>
      </c>
    </row>
    <row r="3">
      <c r="C3">
        <f t="shared" si="0"/>
      </c>
    </row>
  </sheetData>
  <ignoredErrors>
    <ignoredError numberStoredAsText="1" sqref="A1:D4"/>
  </ignoredErrors>
</worksheet>
</file>

<file path=xl/worksheets/sheet82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2">
      <c r="B2">
        <f t="shared" si="0">Q1:Q3!A1&amp;"A1"</f>
      </c>
    </row>
    <row r="3">
      <c r="C3">
        <f t="shared" si="0"/>
      </c>
    </row>
  </sheetData>
  <ignoredErrors>
    <ignoredError numberStoredAsText="1" sqref="A1:D4"/>
  </ignoredErrors>
</worksheet>
</file>

<file path=xl/worksheets/sheet8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2">
      <c r="B2">
        <f t="shared" si="0">'[1]Q1'!A1+A1</f>
      </c>
    </row>
    <row r="3">
      <c r="C3">
        <f t="shared" si="0"/>
      </c>
    </row>
  </sheetData>
  <ignoredErrors>
    <ignoredError numberStoredAsText="1" sqref="A1:D4"/>
  </ignoredErrors>
</worksheet>
</file>

<file path=xl/worksheets/sheet84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2">
      <c r="B2">
        <f t="shared" si="0">SUM('[1]Q1'!A1,A1)</f>
      </c>
    </row>
    <row r="3">
      <c r="C3">
        <f t="shared" si="0"/>
      </c>
    </row>
  </sheetData>
  <ignoredErrors>
    <ignoredError numberStoredAsText="1" sqref="A1:D4"/>
  </ignoredErrors>
</worksheet>
</file>

<file path=xl/worksheets/sheet85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2">
      <c r="B2">
        <f t="shared" si="0">IF(TRUE,'[1]Q1'!A1,A1)</f>
      </c>
    </row>
    <row r="3">
      <c r="C3">
        <f t="shared" si="0"/>
      </c>
    </row>
  </sheetData>
  <ignoredErrors>
    <ignoredError numberStoredAsText="1" sqref="A1:D4"/>
  </ignoredErrors>
</worksheet>
</file>

<file path=xl/worksheets/sheet86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2">
      <c r="B2">
        <f t="shared" si="0">'[1]Q1'!A1&amp;"A1"</f>
      </c>
    </row>
    <row r="3">
      <c r="C3">
        <f t="shared" si="0"/>
      </c>
    </row>
  </sheetData>
  <ignoredErrors>
    <ignoredError numberStoredAsText="1" sqref="A1:D4"/>
  </ignoredErrors>
</worksheet>
</file>

<file path=xl/worksheets/sheet87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2">
      <c r="B2">
        <f t="shared" si="0">ΩA1+A1</f>
      </c>
    </row>
    <row r="3">
      <c r="C3">
        <f t="shared" si="0"/>
      </c>
    </row>
  </sheetData>
  <ignoredErrors>
    <ignoredError numberStoredAsText="1" sqref="A1:D4"/>
  </ignoredErrors>
</worksheet>
</file>

<file path=xl/worksheets/sheet88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2">
      <c r="B2">
        <f t="shared" si="0">SUM(ΩA1,A1)</f>
      </c>
    </row>
    <row r="3">
      <c r="C3">
        <f t="shared" si="0"/>
      </c>
    </row>
  </sheetData>
  <ignoredErrors>
    <ignoredError numberStoredAsText="1" sqref="A1:D4"/>
  </ignoredErrors>
</worksheet>
</file>

<file path=xl/worksheets/sheet89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2">
      <c r="B2">
        <f t="shared" si="0">IF(TRUE,ΩA1,A1)</f>
      </c>
    </row>
    <row r="3">
      <c r="C3">
        <f t="shared" si="0"/>
      </c>
    </row>
  </sheetData>
  <ignoredErrors>
    <ignoredError numberStoredAsText="1" sqref="A1:D4"/>
  </ignoredErrors>
</worksheet>
</file>

<file path=xl/worksheets/sheet90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2">
      <c r="B2">
        <f t="shared" si="0">ΩA1&amp;"A1"</f>
      </c>
    </row>
    <row r="3">
      <c r="C3">
        <f t="shared" si="0"/>
      </c>
    </row>
  </sheetData>
  <ignoredErrors>
    <ignoredError numberStoredAsText="1" sqref="A1:D4"/>
  </ignoredErrors>
</worksheet>
</file>

<file path=xl/worksheets/sheet91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2">
      <c r="B2">
        <f t="shared" si="0">A1é+A1</f>
      </c>
    </row>
    <row r="3">
      <c r="C3">
        <f t="shared" si="0"/>
      </c>
    </row>
  </sheetData>
  <ignoredErrors>
    <ignoredError numberStoredAsText="1" sqref="A1:D4"/>
  </ignoredErrors>
</worksheet>
</file>

<file path=xl/worksheets/sheet92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2">
      <c r="B2">
        <f t="shared" si="0">SUM(A1é,A1)</f>
      </c>
    </row>
    <row r="3">
      <c r="C3">
        <f t="shared" si="0"/>
      </c>
    </row>
  </sheetData>
  <ignoredErrors>
    <ignoredError numberStoredAsText="1" sqref="A1:D4"/>
  </ignoredErrors>
</worksheet>
</file>

<file path=xl/worksheets/sheet9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2">
      <c r="B2">
        <f t="shared" si="0">IF(TRUE,A1é,A1)</f>
      </c>
    </row>
    <row r="3">
      <c r="C3">
        <f t="shared" si="0"/>
      </c>
    </row>
  </sheetData>
  <ignoredErrors>
    <ignoredError numberStoredAsText="1" sqref="A1:D4"/>
  </ignoredErrors>
</worksheet>
</file>

<file path=xl/worksheets/sheet94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2">
      <c r="B2">
        <f t="shared" si="0">A1é&amp;"A1"</f>
      </c>
    </row>
    <row r="3">
      <c r="C3">
        <f t="shared" si="0"/>
      </c>
    </row>
  </sheetData>
  <ignoredErrors>
    <ignoredError numberStoredAsText="1" sqref="A1:D4"/>
  </ignoredErrors>
</worksheet>
</file>

<file path=xl/worksheets/sheet95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2">
      <c r="B2">
        <f t="shared" si="0">名A1+A1</f>
      </c>
    </row>
    <row r="3">
      <c r="C3">
        <f t="shared" si="0"/>
      </c>
    </row>
  </sheetData>
  <ignoredErrors>
    <ignoredError numberStoredAsText="1" sqref="A1:D4"/>
  </ignoredErrors>
</worksheet>
</file>

<file path=xl/worksheets/sheet96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2">
      <c r="B2">
        <f t="shared" si="0">SUM(名A1,A1)</f>
      </c>
    </row>
    <row r="3">
      <c r="C3">
        <f t="shared" si="0"/>
      </c>
    </row>
  </sheetData>
  <ignoredErrors>
    <ignoredError numberStoredAsText="1" sqref="A1:D4"/>
  </ignoredErrors>
</worksheet>
</file>

<file path=xl/worksheets/sheet97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2">
      <c r="B2">
        <f t="shared" si="0">IF(TRUE,名A1,A1)</f>
      </c>
    </row>
    <row r="3">
      <c r="C3">
        <f t="shared" si="0"/>
      </c>
    </row>
  </sheetData>
  <ignoredErrors>
    <ignoredError numberStoredAsText="1" sqref="A1:D4"/>
  </ignoredErrors>
</worksheet>
</file>

<file path=xl/worksheets/sheet98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2">
      <c r="B2">
        <f t="shared" si="0">名A1&amp;"A1"</f>
      </c>
    </row>
    <row r="3">
      <c r="C3">
        <f t="shared" si="0"/>
      </c>
    </row>
  </sheetData>
  <ignoredErrors>
    <ignoredError numberStoredAsText="1" sqref="A1:D4"/>
  </ignoredErrors>
</worksheet>
</file>

<file path=xl/worksheets/sheet99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2">
      <c r="B2">
        <f t="shared" si="0">A1_name+A1</f>
      </c>
    </row>
    <row r="3">
      <c r="C3">
        <f t="shared" si="0"/>
      </c>
    </row>
  </sheetData>
  <ignoredErrors>
    <ignoredError numberStoredAsText="1" sqref="A1:D4"/>
  </ignoredErrors>
</worksheet>
</file>

<file path=xl/worksheets/sheet100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2">
      <c r="B2">
        <f t="shared" si="0">SUM(A1_name,A1)</f>
      </c>
    </row>
    <row r="3">
      <c r="C3">
        <f t="shared" si="0"/>
      </c>
    </row>
  </sheetData>
  <ignoredErrors>
    <ignoredError numberStoredAsText="1" sqref="A1:D4"/>
  </ignoredErrors>
</worksheet>
</file>

<file path=xl/worksheets/sheet101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2">
      <c r="B2">
        <f t="shared" si="0">IF(TRUE,A1_name,A1)</f>
      </c>
    </row>
    <row r="3">
      <c r="C3">
        <f t="shared" si="0"/>
      </c>
    </row>
  </sheetData>
  <ignoredErrors>
    <ignoredError numberStoredAsText="1" sqref="A1:D4"/>
  </ignoredErrors>
</worksheet>
</file>

<file path=xl/worksheets/sheet102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2">
      <c r="B2">
        <f t="shared" si="0">A1_name&amp;"A1"</f>
      </c>
    </row>
    <row r="3">
      <c r="C3">
        <f t="shared" si="0"/>
      </c>
    </row>
  </sheetData>
  <ignoredErrors>
    <ignoredError numberStoredAsText="1" sqref="A1:D4"/>
  </ignoredErrors>
</worksheet>
</file>

<file path=xl/worksheets/sheet10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2">
      <c r="B2">
        <f t="shared" si="0">A1.name+A1</f>
      </c>
    </row>
    <row r="3">
      <c r="C3">
        <f t="shared" si="0"/>
      </c>
    </row>
  </sheetData>
  <ignoredErrors>
    <ignoredError numberStoredAsText="1" sqref="A1:D4"/>
  </ignoredErrors>
</worksheet>
</file>

<file path=xl/worksheets/sheet104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2">
      <c r="B2">
        <f t="shared" si="0">SUM(A1.name,A1)</f>
      </c>
    </row>
    <row r="3">
      <c r="C3">
        <f t="shared" si="0"/>
      </c>
    </row>
  </sheetData>
  <ignoredErrors>
    <ignoredError numberStoredAsText="1" sqref="A1:D4"/>
  </ignoredErrors>
</worksheet>
</file>

<file path=xl/worksheets/sheet105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2">
      <c r="B2">
        <f t="shared" si="0">IF(TRUE,A1.name,A1)</f>
      </c>
    </row>
    <row r="3">
      <c r="C3">
        <f t="shared" si="0"/>
      </c>
    </row>
  </sheetData>
  <ignoredErrors>
    <ignoredError numberStoredAsText="1" sqref="A1:D4"/>
  </ignoredErrors>
</worksheet>
</file>

<file path=xl/worksheets/sheet106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2">
      <c r="B2">
        <f t="shared" si="0">A1.name&amp;"A1"</f>
      </c>
    </row>
    <row r="3">
      <c r="C3">
        <f t="shared" si="0"/>
      </c>
    </row>
  </sheetData>
  <ignoredErrors>
    <ignoredError numberStoredAsText="1" sqref="A1:D4"/>
  </ignoredErrors>
</worksheet>
</file>

<file path=xl/worksheets/sheet107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2">
      <c r="B2">
        <f t="shared" si="0">\A1+A1</f>
      </c>
    </row>
    <row r="3">
      <c r="C3">
        <f t="shared" si="0"/>
      </c>
    </row>
  </sheetData>
  <ignoredErrors>
    <ignoredError numberStoredAsText="1" sqref="A1:D4"/>
  </ignoredErrors>
</worksheet>
</file>

<file path=xl/worksheets/sheet108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2">
      <c r="B2">
        <f t="shared" si="0">SUM(\A1,A1)</f>
      </c>
    </row>
    <row r="3">
      <c r="C3">
        <f t="shared" si="0"/>
      </c>
    </row>
  </sheetData>
  <ignoredErrors>
    <ignoredError numberStoredAsText="1" sqref="A1:D4"/>
  </ignoredErrors>
</worksheet>
</file>

<file path=xl/worksheets/sheet109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2">
      <c r="B2">
        <f t="shared" si="0">IF(TRUE,\A1,A1)</f>
      </c>
    </row>
    <row r="3">
      <c r="C3">
        <f t="shared" si="0"/>
      </c>
    </row>
  </sheetData>
  <ignoredErrors>
    <ignoredError numberStoredAsText="1" sqref="A1:D4"/>
  </ignoredErrors>
</worksheet>
</file>

<file path=xl/worksheets/sheet110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2">
      <c r="B2">
        <f t="shared" si="0">\A1&amp;"A1"</f>
      </c>
    </row>
    <row r="3">
      <c r="C3">
        <f t="shared" si="0"/>
      </c>
    </row>
  </sheetData>
  <ignoredErrors>
    <ignoredError numberStoredAsText="1" sqref="A1:D4"/>
  </ignoredErrors>
</worksheet>
</file>

<file path=xl/worksheets/sheet111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2">
      <c r="B2">
        <f t="shared" si="0">Table1[A1]+A1</f>
      </c>
    </row>
    <row r="3">
      <c r="C3">
        <f t="shared" si="0"/>
      </c>
    </row>
  </sheetData>
  <ignoredErrors>
    <ignoredError numberStoredAsText="1" sqref="A1:D4"/>
  </ignoredErrors>
</worksheet>
</file>

<file path=xl/worksheets/sheet112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2">
      <c r="B2">
        <f t="shared" si="0">SUM(Table1[A1],A1)</f>
      </c>
    </row>
    <row r="3">
      <c r="C3">
        <f t="shared" si="0"/>
      </c>
    </row>
  </sheetData>
  <ignoredErrors>
    <ignoredError numberStoredAsText="1" sqref="A1:D4"/>
  </ignoredErrors>
</worksheet>
</file>

<file path=xl/worksheets/sheet11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2">
      <c r="B2">
        <f t="shared" si="0">IF(TRUE,Table1[A1],A1)</f>
      </c>
    </row>
    <row r="3">
      <c r="C3">
        <f t="shared" si="0"/>
      </c>
    </row>
  </sheetData>
  <ignoredErrors>
    <ignoredError numberStoredAsText="1" sqref="A1:D4"/>
  </ignoredErrors>
</worksheet>
</file>

<file path=xl/worksheets/sheet114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2">
      <c r="B2">
        <f t="shared" si="0">Table1[A1]&amp;"A1"</f>
      </c>
    </row>
    <row r="3">
      <c r="C3">
        <f t="shared" si="0"/>
      </c>
    </row>
  </sheetData>
  <ignoredErrors>
    <ignoredError numberStoredAsText="1" sqref="A1:D4"/>
  </ignoredErrors>
</worksheet>
</file>

<file path=xl/worksheets/sheet115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2">
      <c r="B2">
        <f t="shared" si="0">Table1[[#Data],[A1]:[B2]]+A1</f>
      </c>
    </row>
    <row r="3">
      <c r="C3">
        <f t="shared" si="0"/>
      </c>
    </row>
  </sheetData>
  <ignoredErrors>
    <ignoredError numberStoredAsText="1" sqref="A1:D4"/>
  </ignoredErrors>
</worksheet>
</file>

<file path=xl/worksheets/sheet116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2">
      <c r="B2">
        <f t="shared" si="0">SUM(Table1[[#Data],[A1]:[B2]],A1)</f>
      </c>
    </row>
    <row r="3">
      <c r="C3">
        <f t="shared" si="0"/>
      </c>
    </row>
  </sheetData>
  <ignoredErrors>
    <ignoredError numberStoredAsText="1" sqref="A1:D4"/>
  </ignoredErrors>
</worksheet>
</file>

<file path=xl/worksheets/sheet117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2">
      <c r="B2">
        <f t="shared" si="0">IF(TRUE,Table1[[#Data],[A1]:[B2]],A1)</f>
      </c>
    </row>
    <row r="3">
      <c r="C3">
        <f t="shared" si="0"/>
      </c>
    </row>
  </sheetData>
  <ignoredErrors>
    <ignoredError numberStoredAsText="1" sqref="A1:D4"/>
  </ignoredErrors>
</worksheet>
</file>

<file path=xl/worksheets/sheet118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2">
      <c r="B2">
        <f t="shared" si="0">Table1[[#Data],[A1]:[B2]]&amp;"A1"</f>
      </c>
    </row>
    <row r="3">
      <c r="C3">
        <f t="shared" si="0"/>
      </c>
    </row>
  </sheetData>
  <ignoredErrors>
    <ignoredError numberStoredAsText="1" sqref="A1:D4"/>
  </ignoredErrors>
</worksheet>
</file>

<file path=xl/worksheets/sheet119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2">
      <c r="B2">
        <f t="shared" si="0">Table1[A1']B2]+A1</f>
      </c>
    </row>
    <row r="3">
      <c r="C3">
        <f t="shared" si="0"/>
      </c>
    </row>
  </sheetData>
  <ignoredErrors>
    <ignoredError numberStoredAsText="1" sqref="A1:D4"/>
  </ignoredErrors>
</worksheet>
</file>

<file path=xl/worksheets/sheet120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2">
      <c r="B2">
        <f t="shared" si="0">SUM(Table1[A1']B2],A1)</f>
      </c>
    </row>
    <row r="3">
      <c r="C3">
        <f t="shared" si="0"/>
      </c>
    </row>
  </sheetData>
  <ignoredErrors>
    <ignoredError numberStoredAsText="1" sqref="A1:D4"/>
  </ignoredErrors>
</worksheet>
</file>

<file path=xl/worksheets/sheet121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2">
      <c r="B2">
        <f t="shared" si="0">IF(TRUE,Table1[A1']B2],A1)</f>
      </c>
    </row>
    <row r="3">
      <c r="C3">
        <f t="shared" si="0"/>
      </c>
    </row>
  </sheetData>
  <ignoredErrors>
    <ignoredError numberStoredAsText="1" sqref="A1:D4"/>
  </ignoredErrors>
</worksheet>
</file>

<file path=xl/worksheets/sheet122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2">
      <c r="B2">
        <f t="shared" si="0">Table1[A1']B2]&amp;"A1"</f>
      </c>
    </row>
    <row r="3">
      <c r="C3">
        <f t="shared" si="0"/>
      </c>
    </row>
  </sheetData>
  <ignoredErrors>
    <ignoredError numberStoredAsText="1" sqref="A1:D4"/>
  </ignoredErrors>
</worksheet>
</file>

<file path=xl/worksheets/sheet12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2">
      <c r="B2">
        <f t="shared" si="0">[@A1]+A1</f>
      </c>
    </row>
    <row r="3">
      <c r="C3">
        <f t="shared" si="0"/>
      </c>
    </row>
  </sheetData>
  <ignoredErrors>
    <ignoredError numberStoredAsText="1" sqref="A1:D4"/>
  </ignoredErrors>
</worksheet>
</file>

<file path=xl/worksheets/sheet124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2">
      <c r="B2">
        <f t="shared" si="0">SUM([@A1],A1)</f>
      </c>
    </row>
    <row r="3">
      <c r="C3">
        <f t="shared" si="0"/>
      </c>
    </row>
  </sheetData>
  <ignoredErrors>
    <ignoredError numberStoredAsText="1" sqref="A1:D4"/>
  </ignoredErrors>
</worksheet>
</file>

<file path=xl/worksheets/sheet125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2">
      <c r="B2">
        <f t="shared" si="0">IF(TRUE,[@A1],A1)</f>
      </c>
    </row>
    <row r="3">
      <c r="C3">
        <f t="shared" si="0"/>
      </c>
    </row>
  </sheetData>
  <ignoredErrors>
    <ignoredError numberStoredAsText="1" sqref="A1:D4"/>
  </ignoredErrors>
</worksheet>
</file>

<file path=xl/worksheets/sheet126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2">
      <c r="B2">
        <f t="shared" si="0">[@A1]&amp;"A1"</f>
      </c>
    </row>
    <row r="3">
      <c r="C3">
        <f t="shared" si="0"/>
      </c>
    </row>
  </sheetData>
  <ignoredErrors>
    <ignoredError numberStoredAsText="1" sqref="A1:D4"/>
  </ignoredErrors>
</worksheet>
</file>

<file path=xl/worksheets/sheet127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2">
      <c r="B2">
        <f t="shared" si="0">"A1"+A1</f>
      </c>
    </row>
    <row r="3">
      <c r="C3">
        <f t="shared" si="0"/>
      </c>
    </row>
  </sheetData>
  <ignoredErrors>
    <ignoredError numberStoredAsText="1" sqref="A1:D4"/>
  </ignoredErrors>
</worksheet>
</file>

<file path=xl/worksheets/sheet128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2">
      <c r="B2">
        <f t="shared" si="0">SUM("A1",A1)</f>
      </c>
    </row>
    <row r="3">
      <c r="C3">
        <f t="shared" si="0"/>
      </c>
    </row>
  </sheetData>
  <ignoredErrors>
    <ignoredError numberStoredAsText="1" sqref="A1:D4"/>
  </ignoredErrors>
</worksheet>
</file>

<file path=xl/worksheets/sheet129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2">
      <c r="B2">
        <f t="shared" si="0">IF(TRUE,"A1",A1)</f>
      </c>
    </row>
    <row r="3">
      <c r="C3">
        <f t="shared" si="0"/>
      </c>
    </row>
  </sheetData>
  <ignoredErrors>
    <ignoredError numberStoredAsText="1" sqref="A1:D4"/>
  </ignoredErrors>
</worksheet>
</file>

<file path=xl/worksheets/sheet130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2">
      <c r="B2">
        <f t="shared" si="0">"A1"&amp;"A1"</f>
      </c>
    </row>
    <row r="3">
      <c r="C3">
        <f t="shared" si="0"/>
      </c>
    </row>
  </sheetData>
  <ignoredErrors>
    <ignoredError numberStoredAsText="1" sqref="A1:D4"/>
  </ignoredErrors>
</worksheet>
</file>

<file path=xl/worksheets/sheet131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2">
      <c r="B2">
        <f t="shared" si="0">"A1""B2"+A1</f>
      </c>
    </row>
    <row r="3">
      <c r="C3">
        <f t="shared" si="0"/>
      </c>
    </row>
  </sheetData>
  <ignoredErrors>
    <ignoredError numberStoredAsText="1" sqref="A1:D4"/>
  </ignoredErrors>
</worksheet>
</file>

<file path=xl/worksheets/sheet132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2">
      <c r="B2">
        <f t="shared" si="0">SUM("A1""B2",A1)</f>
      </c>
    </row>
    <row r="3">
      <c r="C3">
        <f t="shared" si="0"/>
      </c>
    </row>
  </sheetData>
  <ignoredErrors>
    <ignoredError numberStoredAsText="1" sqref="A1:D4"/>
  </ignoredErrors>
</worksheet>
</file>

<file path=xl/worksheets/sheet13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2">
      <c r="B2">
        <f t="shared" si="0">IF(TRUE,"A1""B2",A1)</f>
      </c>
    </row>
    <row r="3">
      <c r="C3">
        <f t="shared" si="0"/>
      </c>
    </row>
  </sheetData>
  <ignoredErrors>
    <ignoredError numberStoredAsText="1" sqref="A1:D4"/>
  </ignoredErrors>
</worksheet>
</file>

<file path=xl/worksheets/sheet134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2">
      <c r="B2">
        <f t="shared" si="0">"A1""B2"&amp;"A1"</f>
      </c>
    </row>
    <row r="3">
      <c r="C3">
        <f t="shared" si="0"/>
      </c>
    </row>
  </sheetData>
  <ignoredErrors>
    <ignoredError numberStoredAsText="1" sqref="A1:D4"/>
  </ignoredErrors>
</worksheet>
</file>

<file path=xl/worksheets/sheet135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2">
      <c r="B2">
        <f t="shared" si="0">A:A+A1</f>
      </c>
    </row>
    <row r="3">
      <c r="C3">
        <f t="shared" si="0"/>
      </c>
    </row>
  </sheetData>
  <ignoredErrors>
    <ignoredError numberStoredAsText="1" sqref="A1:D4"/>
  </ignoredErrors>
</worksheet>
</file>

<file path=xl/worksheets/sheet136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2">
      <c r="B2">
        <f t="shared" si="0">SUM(A:A,A1)</f>
      </c>
    </row>
    <row r="3">
      <c r="C3">
        <f t="shared" si="0"/>
      </c>
    </row>
  </sheetData>
  <ignoredErrors>
    <ignoredError numberStoredAsText="1" sqref="A1:D4"/>
  </ignoredErrors>
</worksheet>
</file>

<file path=xl/worksheets/sheet137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2">
      <c r="B2">
        <f t="shared" si="0">IF(TRUE,A:A,A1)</f>
      </c>
    </row>
    <row r="3">
      <c r="C3">
        <f t="shared" si="0"/>
      </c>
    </row>
  </sheetData>
  <ignoredErrors>
    <ignoredError numberStoredAsText="1" sqref="A1:D4"/>
  </ignoredErrors>
</worksheet>
</file>

<file path=xl/worksheets/sheet138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2">
      <c r="B2">
        <f t="shared" si="0">A:A&amp;"A1"</f>
      </c>
    </row>
    <row r="3">
      <c r="C3">
        <f t="shared" si="0"/>
      </c>
    </row>
  </sheetData>
  <ignoredErrors>
    <ignoredError numberStoredAsText="1" sqref="A1:D4"/>
  </ignoredErrors>
</worksheet>
</file>

<file path=xl/worksheets/sheet139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2">
      <c r="B2">
        <f t="shared" si="0">$A:B+A1</f>
      </c>
    </row>
    <row r="3">
      <c r="C3">
        <f t="shared" si="0"/>
      </c>
    </row>
  </sheetData>
  <ignoredErrors>
    <ignoredError numberStoredAsText="1" sqref="A1:D4"/>
  </ignoredErrors>
</worksheet>
</file>

<file path=xl/worksheets/sheet140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2">
      <c r="B2">
        <f t="shared" si="0">SUM($A:B,A1)</f>
      </c>
    </row>
    <row r="3">
      <c r="C3">
        <f t="shared" si="0"/>
      </c>
    </row>
  </sheetData>
  <ignoredErrors>
    <ignoredError numberStoredAsText="1" sqref="A1:D4"/>
  </ignoredErrors>
</worksheet>
</file>

<file path=xl/worksheets/sheet141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2">
      <c r="B2">
        <f t="shared" si="0">IF(TRUE,$A:B,A1)</f>
      </c>
    </row>
    <row r="3">
      <c r="C3">
        <f t="shared" si="0"/>
      </c>
    </row>
  </sheetData>
  <ignoredErrors>
    <ignoredError numberStoredAsText="1" sqref="A1:D4"/>
  </ignoredErrors>
</worksheet>
</file>

<file path=xl/worksheets/sheet142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2">
      <c r="B2">
        <f t="shared" si="0">$A:B&amp;"A1"</f>
      </c>
    </row>
    <row r="3">
      <c r="C3">
        <f t="shared" si="0"/>
      </c>
    </row>
  </sheetData>
  <ignoredErrors>
    <ignoredError numberStoredAsText="1" sqref="A1:D4"/>
  </ignoredErrors>
</worksheet>
</file>

<file path=xl/worksheets/sheet14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2">
      <c r="B2">
        <f t="shared" si="0">1:1+A1</f>
      </c>
    </row>
    <row r="3">
      <c r="C3">
        <f t="shared" si="0"/>
      </c>
    </row>
  </sheetData>
  <ignoredErrors>
    <ignoredError numberStoredAsText="1" sqref="A1:D4"/>
  </ignoredErrors>
</worksheet>
</file>

<file path=xl/worksheets/sheet144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2">
      <c r="B2">
        <f t="shared" si="0">SUM(1:1,A1)</f>
      </c>
    </row>
    <row r="3">
      <c r="C3">
        <f t="shared" si="0"/>
      </c>
    </row>
  </sheetData>
  <ignoredErrors>
    <ignoredError numberStoredAsText="1" sqref="A1:D4"/>
  </ignoredErrors>
</worksheet>
</file>

<file path=xl/worksheets/sheet145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2">
      <c r="B2">
        <f t="shared" si="0">IF(TRUE,1:1,A1)</f>
      </c>
    </row>
    <row r="3">
      <c r="C3">
        <f t="shared" si="0"/>
      </c>
    </row>
  </sheetData>
  <ignoredErrors>
    <ignoredError numberStoredAsText="1" sqref="A1:D4"/>
  </ignoredErrors>
</worksheet>
</file>

<file path=xl/worksheets/sheet146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2">
      <c r="B2">
        <f t="shared" si="0">1:1&amp;"A1"</f>
      </c>
    </row>
    <row r="3">
      <c r="C3">
        <f t="shared" si="0"/>
      </c>
    </row>
  </sheetData>
  <ignoredErrors>
    <ignoredError numberStoredAsText="1" sqref="A1:D4"/>
  </ignoredErrors>
</worksheet>
</file>

<file path=xl/worksheets/sheet147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2">
      <c r="B2">
        <f t="shared" si="0">$1:2+A1</f>
      </c>
    </row>
    <row r="3">
      <c r="C3">
        <f t="shared" si="0"/>
      </c>
    </row>
  </sheetData>
  <ignoredErrors>
    <ignoredError numberStoredAsText="1" sqref="A1:D4"/>
  </ignoredErrors>
</worksheet>
</file>

<file path=xl/worksheets/sheet148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2">
      <c r="B2">
        <f t="shared" si="0">SUM($1:2,A1)</f>
      </c>
    </row>
    <row r="3">
      <c r="C3">
        <f t="shared" si="0"/>
      </c>
    </row>
  </sheetData>
  <ignoredErrors>
    <ignoredError numberStoredAsText="1" sqref="A1:D4"/>
  </ignoredErrors>
</worksheet>
</file>

<file path=xl/worksheets/sheet149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2">
      <c r="B2">
        <f t="shared" si="0">IF(TRUE,$1:2,A1)</f>
      </c>
    </row>
    <row r="3">
      <c r="C3">
        <f t="shared" si="0"/>
      </c>
    </row>
  </sheetData>
  <ignoredErrors>
    <ignoredError numberStoredAsText="1" sqref="A1:D4"/>
  </ignoredErrors>
</worksheet>
</file>

<file path=xl/worksheets/sheet150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2">
      <c r="B2">
        <f t="shared" si="0">$1:2&amp;"A1"</f>
      </c>
    </row>
    <row r="3">
      <c r="C3">
        <f t="shared" si="0"/>
      </c>
    </row>
  </sheetData>
  <ignoredErrors>
    <ignoredError numberStoredAsText="1" sqref="A1:D4"/>
  </ignoredErrors>
</worksheet>
</file>

<file path=xl/worksheets/sheet151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2">
      <c r="B2">
        <f t="shared" si="0">A1:LastCell+A1</f>
      </c>
    </row>
    <row r="3">
      <c r="C3">
        <f t="shared" si="0"/>
      </c>
    </row>
  </sheetData>
  <ignoredErrors>
    <ignoredError numberStoredAsText="1" sqref="A1:D4"/>
  </ignoredErrors>
</worksheet>
</file>

<file path=xl/worksheets/sheet152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2">
      <c r="B2">
        <f t="shared" si="0">SUM(A1:LastCell,A1)</f>
      </c>
    </row>
    <row r="3">
      <c r="C3">
        <f t="shared" si="0"/>
      </c>
    </row>
  </sheetData>
  <ignoredErrors>
    <ignoredError numberStoredAsText="1" sqref="A1:D4"/>
  </ignoredErrors>
</worksheet>
</file>

<file path=xl/worksheets/sheet15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2">
      <c r="B2">
        <f t="shared" si="0">IF(TRUE,A1:LastCell,A1)</f>
      </c>
    </row>
    <row r="3">
      <c r="C3">
        <f t="shared" si="0"/>
      </c>
    </row>
  </sheetData>
  <ignoredErrors>
    <ignoredError numberStoredAsText="1" sqref="A1:D4"/>
  </ignoredErrors>
</worksheet>
</file>

<file path=xl/worksheets/sheet154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2">
      <c r="B2">
        <f t="shared" si="0">A1:LastCell&amp;"A1"</f>
      </c>
    </row>
    <row r="3">
      <c r="C3">
        <f t="shared" si="0"/>
      </c>
    </row>
  </sheetData>
  <ignoredErrors>
    <ignoredError numberStoredAsText="1" sqref="A1:D4"/>
  </ignoredErrors>
</worksheet>
</file>

<file path=xl/worksheets/sheet155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2">
      <c r="B2">
        <f t="shared" si="0">A1:INDEX(A:A,10)+A1</f>
      </c>
    </row>
    <row r="3">
      <c r="C3">
        <f t="shared" si="0"/>
      </c>
    </row>
  </sheetData>
  <ignoredErrors>
    <ignoredError numberStoredAsText="1" sqref="A1:D4"/>
  </ignoredErrors>
</worksheet>
</file>

<file path=xl/worksheets/sheet156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2">
      <c r="B2">
        <f t="shared" si="0">SUM(A1:INDEX(A:A,10),A1)</f>
      </c>
    </row>
    <row r="3">
      <c r="C3">
        <f t="shared" si="0"/>
      </c>
    </row>
  </sheetData>
  <ignoredErrors>
    <ignoredError numberStoredAsText="1" sqref="A1:D4"/>
  </ignoredErrors>
</worksheet>
</file>

<file path=xl/worksheets/sheet157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2">
      <c r="B2">
        <f t="shared" si="0">IF(TRUE,A1:INDEX(A:A,10),A1)</f>
      </c>
    </row>
    <row r="3">
      <c r="C3">
        <f t="shared" si="0"/>
      </c>
    </row>
  </sheetData>
  <ignoredErrors>
    <ignoredError numberStoredAsText="1" sqref="A1:D4"/>
  </ignoredErrors>
</worksheet>
</file>

<file path=xl/worksheets/sheet158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2">
      <c r="B2">
        <f t="shared" si="0">A1:INDEX(A:A,10)&amp;"A1"</f>
      </c>
    </row>
    <row r="3">
      <c r="C3">
        <f t="shared" si="0"/>
      </c>
    </row>
  </sheetData>
  <ignoredErrors>
    <ignoredError numberStoredAsText="1" sqref="A1:D4"/>
  </ignoredErrors>
</worksheet>
</file>

<file path=xl/worksheets/sheet159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2">
      <c r="B2">
        <f t="shared" si="0">A1:'Q1'!B2+A1</f>
      </c>
    </row>
    <row r="3">
      <c r="C3">
        <f t="shared" si="0"/>
      </c>
    </row>
  </sheetData>
  <ignoredErrors>
    <ignoredError numberStoredAsText="1" sqref="A1:D4"/>
  </ignoredErrors>
</worksheet>
</file>

<file path=xl/worksheets/sheet160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2">
      <c r="B2">
        <f t="shared" si="0">SUM(A1:'Q1'!B2,A1)</f>
      </c>
    </row>
    <row r="3">
      <c r="C3">
        <f t="shared" si="0"/>
      </c>
    </row>
  </sheetData>
  <ignoredErrors>
    <ignoredError numberStoredAsText="1" sqref="A1:D4"/>
  </ignoredErrors>
</worksheet>
</file>

<file path=xl/worksheets/sheet161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2">
      <c r="B2">
        <f t="shared" si="0">IF(TRUE,A1:'Q1'!B2,A1)</f>
      </c>
    </row>
    <row r="3">
      <c r="C3">
        <f t="shared" si="0"/>
      </c>
    </row>
  </sheetData>
  <ignoredErrors>
    <ignoredError numberStoredAsText="1" sqref="A1:D4"/>
  </ignoredErrors>
</worksheet>
</file>

<file path=xl/worksheets/sheet162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2">
      <c r="B2">
        <f t="shared" si="0">A1:'Q1'!B2&amp;"A1"</f>
      </c>
    </row>
    <row r="3">
      <c r="C3">
        <f t="shared" si="0"/>
      </c>
    </row>
  </sheetData>
  <ignoredErrors>
    <ignoredError numberStoredAsText="1" sqref="A1:D4"/>
  </ignoredErrors>
</worksheet>
</file>

<file path=xl/worksheets/sheet16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2">
      <c r="B2">
        <f t="shared" si="0">(A1):OFFSET(B2,1,0)+A1</f>
      </c>
    </row>
    <row r="3">
      <c r="C3">
        <f t="shared" si="0"/>
      </c>
    </row>
  </sheetData>
  <ignoredErrors>
    <ignoredError numberStoredAsText="1" sqref="A1:D4"/>
  </ignoredErrors>
</worksheet>
</file>

<file path=xl/worksheets/sheet164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2">
      <c r="B2">
        <f t="shared" si="0">SUM((A1):OFFSET(B2,1,0),A1)</f>
      </c>
    </row>
    <row r="3">
      <c r="C3">
        <f t="shared" si="0"/>
      </c>
    </row>
  </sheetData>
  <ignoredErrors>
    <ignoredError numberStoredAsText="1" sqref="A1:D4"/>
  </ignoredErrors>
</worksheet>
</file>

<file path=xl/worksheets/sheet165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2">
      <c r="B2">
        <f t="shared" si="0">IF(TRUE,(A1):OFFSET(B2,1,0),A1)</f>
      </c>
    </row>
    <row r="3">
      <c r="C3">
        <f t="shared" si="0"/>
      </c>
    </row>
  </sheetData>
  <ignoredErrors>
    <ignoredError numberStoredAsText="1" sqref="A1:D4"/>
  </ignoredErrors>
</worksheet>
</file>

<file path=xl/worksheets/sheet166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2">
      <c r="B2">
        <f t="shared" si="0">(A1):OFFSET(B2,1,0)&amp;"A1"</f>
      </c>
    </row>
    <row r="3">
      <c r="C3">
        <f t="shared" si="0"/>
      </c>
    </row>
  </sheetData>
  <ignoredErrors>
    <ignoredError numberStoredAsText="1" sqref="A1:D4"/>
  </ignoredErrors>
</worksheet>
</file>

<file path=xl/worksheets/sheet167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2">
      <c r="B2">
        <f t="shared" si="0">1E10+A1</f>
      </c>
    </row>
    <row r="3">
      <c r="C3">
        <f t="shared" si="0"/>
      </c>
    </row>
  </sheetData>
  <ignoredErrors>
    <ignoredError numberStoredAsText="1" sqref="A1:D4"/>
  </ignoredErrors>
</worksheet>
</file>

<file path=xl/worksheets/sheet168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2">
      <c r="B2">
        <f t="shared" si="0">SUM(1E10,A1)</f>
      </c>
    </row>
    <row r="3">
      <c r="C3">
        <f t="shared" si="0"/>
      </c>
    </row>
  </sheetData>
  <ignoredErrors>
    <ignoredError numberStoredAsText="1" sqref="A1:D4"/>
  </ignoredErrors>
</worksheet>
</file>

<file path=xl/worksheets/sheet169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2">
      <c r="B2">
        <f t="shared" si="0">IF(TRUE,1E10,A1)</f>
      </c>
    </row>
    <row r="3">
      <c r="C3">
        <f t="shared" si="0"/>
      </c>
    </row>
  </sheetData>
  <ignoredErrors>
    <ignoredError numberStoredAsText="1" sqref="A1:D4"/>
  </ignoredErrors>
</worksheet>
</file>

<file path=xl/worksheets/sheet170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2">
      <c r="B2">
        <f t="shared" si="0">1E10&amp;"A1"</f>
      </c>
    </row>
    <row r="3">
      <c r="C3">
        <f t="shared" si="0"/>
      </c>
    </row>
  </sheetData>
  <ignoredErrors>
    <ignoredError numberStoredAsText="1" sqref="A1:D4"/>
  </ignoredErrors>
</worksheet>
</file>

<file path=xl/worksheets/sheet171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2">
      <c r="B2">
        <f t="shared" si="0">TRUE+A1</f>
      </c>
    </row>
    <row r="3">
      <c r="C3">
        <f t="shared" si="0"/>
      </c>
    </row>
  </sheetData>
  <ignoredErrors>
    <ignoredError numberStoredAsText="1" sqref="A1:D4"/>
  </ignoredErrors>
</worksheet>
</file>

<file path=xl/worksheets/sheet172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2">
      <c r="B2">
        <f t="shared" si="0">SUM(TRUE,A1)</f>
      </c>
    </row>
    <row r="3">
      <c r="C3">
        <f t="shared" si="0"/>
      </c>
    </row>
  </sheetData>
  <ignoredErrors>
    <ignoredError numberStoredAsText="1" sqref="A1:D4"/>
  </ignoredErrors>
</worksheet>
</file>

<file path=xl/worksheets/sheet17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2">
      <c r="B2">
        <f t="shared" si="0">IF(TRUE,TRUE,A1)</f>
      </c>
    </row>
    <row r="3">
      <c r="C3">
        <f t="shared" si="0"/>
      </c>
    </row>
  </sheetData>
  <ignoredErrors>
    <ignoredError numberStoredAsText="1" sqref="A1:D4"/>
  </ignoredErrors>
</worksheet>
</file>

<file path=xl/worksheets/sheet174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2">
      <c r="B2">
        <f t="shared" si="0">TRUE&amp;"A1"</f>
      </c>
    </row>
    <row r="3">
      <c r="C3">
        <f t="shared" si="0"/>
      </c>
    </row>
  </sheetData>
  <ignoredErrors>
    <ignoredError numberStoredAsText="1" sqref="A1:D4"/>
  </ignoredErrors>
</worksheet>
</file>

<file path=xl/worksheets/sheet175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2">
      <c r="B2">
        <f t="shared" si="0">#REF!+A1</f>
      </c>
    </row>
    <row r="3">
      <c r="C3">
        <f t="shared" si="0"/>
      </c>
    </row>
  </sheetData>
  <ignoredErrors>
    <ignoredError numberStoredAsText="1" sqref="A1:D4"/>
  </ignoredErrors>
</worksheet>
</file>

<file path=xl/worksheets/sheet176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2">
      <c r="B2">
        <f t="shared" si="0">SUM(#REF!,A1)</f>
      </c>
    </row>
    <row r="3">
      <c r="C3">
        <f t="shared" si="0"/>
      </c>
    </row>
  </sheetData>
  <ignoredErrors>
    <ignoredError numberStoredAsText="1" sqref="A1:D4"/>
  </ignoredErrors>
</worksheet>
</file>

<file path=xl/worksheets/sheet177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2">
      <c r="B2">
        <f t="shared" si="0">IF(TRUE,#REF!,A1)</f>
      </c>
    </row>
    <row r="3">
      <c r="C3">
        <f t="shared" si="0"/>
      </c>
    </row>
  </sheetData>
  <ignoredErrors>
    <ignoredError numberStoredAsText="1" sqref="A1:D4"/>
  </ignoredErrors>
</worksheet>
</file>

<file path=xl/worksheets/sheet178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2">
      <c r="B2">
        <f t="shared" si="0">#REF!&amp;"A1"</f>
      </c>
    </row>
    <row r="3">
      <c r="C3">
        <f t="shared" si="0"/>
      </c>
    </row>
  </sheetData>
  <ignoredErrors>
    <ignoredError numberStoredAsText="1" sqref="A1:D4"/>
  </ignoredErrors>
</worksheet>
</file>

<file path=xl/worksheets/sheet179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2">
      <c r="B2">
        <f t="shared" si="0">XFE1+A1</f>
      </c>
    </row>
    <row r="3">
      <c r="C3">
        <f t="shared" si="0"/>
      </c>
    </row>
  </sheetData>
  <ignoredErrors>
    <ignoredError numberStoredAsText="1" sqref="A1:D4"/>
  </ignoredErrors>
</worksheet>
</file>

<file path=xl/worksheets/sheet180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2">
      <c r="B2">
        <f t="shared" si="0">SUM(XFE1,A1)</f>
      </c>
    </row>
    <row r="3">
      <c r="C3">
        <f t="shared" si="0"/>
      </c>
    </row>
  </sheetData>
  <ignoredErrors>
    <ignoredError numberStoredAsText="1" sqref="A1:D4"/>
  </ignoredErrors>
</worksheet>
</file>

<file path=xl/worksheets/sheet181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2">
      <c r="B2">
        <f t="shared" si="0">IF(TRUE,XFE1,A1)</f>
      </c>
    </row>
    <row r="3">
      <c r="C3">
        <f t="shared" si="0"/>
      </c>
    </row>
  </sheetData>
  <ignoredErrors>
    <ignoredError numberStoredAsText="1" sqref="A1:D4"/>
  </ignoredErrors>
</worksheet>
</file>

<file path=xl/worksheets/sheet182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2">
      <c r="B2">
        <f t="shared" si="0">XFE1&amp;"A1"</f>
      </c>
    </row>
    <row r="3">
      <c r="C3">
        <f t="shared" si="0"/>
      </c>
    </row>
  </sheetData>
  <ignoredErrors>
    <ignoredError numberStoredAsText="1" sqref="A1:D4"/>
  </ignoredErrors>
</worksheet>
</file>

<file path=xl/worksheets/sheet18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2">
      <c r="B2">
        <f t="shared" si="0">LOG10(A1)+A1</f>
      </c>
    </row>
    <row r="3">
      <c r="C3">
        <f t="shared" si="0"/>
      </c>
    </row>
  </sheetData>
  <ignoredErrors>
    <ignoredError numberStoredAsText="1" sqref="A1:D4"/>
  </ignoredErrors>
</worksheet>
</file>

<file path=xl/worksheets/sheet184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2">
      <c r="B2">
        <f t="shared" si="0">SUM(LOG10(A1),A1)</f>
      </c>
    </row>
    <row r="3">
      <c r="C3">
        <f t="shared" si="0"/>
      </c>
    </row>
  </sheetData>
  <ignoredErrors>
    <ignoredError numberStoredAsText="1" sqref="A1:D4"/>
  </ignoredErrors>
</worksheet>
</file>

<file path=xl/worksheets/sheet185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2">
      <c r="B2">
        <f t="shared" si="0">IF(TRUE,LOG10(A1),A1)</f>
      </c>
    </row>
    <row r="3">
      <c r="C3">
        <f t="shared" si="0"/>
      </c>
    </row>
  </sheetData>
  <ignoredErrors>
    <ignoredError numberStoredAsText="1" sqref="A1:D4"/>
  </ignoredErrors>
</worksheet>
</file>

<file path=xl/worksheets/sheet186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2">
      <c r="B2">
        <f t="shared" si="0">LOG10(A1)&amp;"A1"</f>
      </c>
    </row>
    <row r="3">
      <c r="C3">
        <f t="shared" si="0"/>
      </c>
    </row>
  </sheetData>
  <ignoredErrors>
    <ignoredError numberStoredAsText="1" sqref="A1:D4"/>
  </ignoredErrors>
</worksheet>
</file>

<file path=xl/worksheets/sheet187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2">
      <c r="B2">
        <f t="shared" si="0">ΩA1(A1)+A1</f>
      </c>
    </row>
    <row r="3">
      <c r="C3">
        <f t="shared" si="0"/>
      </c>
    </row>
  </sheetData>
  <ignoredErrors>
    <ignoredError numberStoredAsText="1" sqref="A1:D4"/>
  </ignoredErrors>
</worksheet>
</file>

<file path=xl/worksheets/sheet188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2">
      <c r="B2">
        <f t="shared" si="0">SUM(ΩA1(A1),A1)</f>
      </c>
    </row>
    <row r="3">
      <c r="C3">
        <f t="shared" si="0"/>
      </c>
    </row>
  </sheetData>
  <ignoredErrors>
    <ignoredError numberStoredAsText="1" sqref="A1:D4"/>
  </ignoredErrors>
</worksheet>
</file>

<file path=xl/worksheets/sheet189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2">
      <c r="B2">
        <f t="shared" si="0">IF(TRUE,ΩA1(A1),A1)</f>
      </c>
    </row>
    <row r="3">
      <c r="C3">
        <f t="shared" si="0"/>
      </c>
    </row>
  </sheetData>
  <ignoredErrors>
    <ignoredError numberStoredAsText="1" sqref="A1:D4"/>
  </ignoredErrors>
</worksheet>
</file>

<file path=xl/worksheets/sheet190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2">
      <c r="B2">
        <f t="shared" si="0">ΩA1(A1)&amp;"A1"</f>
      </c>
    </row>
    <row r="3">
      <c r="C3">
        <f t="shared" si="0"/>
      </c>
    </row>
  </sheetData>
  <ignoredErrors>
    <ignoredError numberStoredAsText="1" sqref="A1:D4"/>
  </ignoredErrors>
</worksheet>
</file>

<file path=xl/worksheets/sheet191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2">
      <c r="B2">
        <f t="shared" si="0">A+1+A:A+1:1</f>
      </c>
    </row>
    <row r="3">
      <c r="C3">
        <f t="shared" si="0"/>
      </c>
    </row>
  </sheetData>
  <ignoredErrors>
    <ignoredError numberStoredAsText="1" sqref="A1:D4"/>
  </ignoredErrors>
</worksheet>
</file>

<file path=xl/worksheets/sheet192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2">
      <c r="B2">
        <f t="shared" si="0">$XFD$1048576+XFC1048575+XFE1+A1048577</f>
      </c>
    </row>
    <row r="3">
      <c r="C3">
        <f t="shared" si="0"/>
      </c>
    </row>
  </sheetData>
  <ignoredErrors>
    <ignoredError numberStoredAsText="1" sqref="A1:D4"/>
  </ignoredErrors>
</worksheet>
</file>

<file path=xl/worksheets/sheet19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2">
      <c r="B2">
        <f t="shared" si="0">a1+$a$1+SUM(a:a)+Q1年!b2</f>
      </c>
    </row>
    <row r="3">
      <c r="B2">
        <f t="shared" si="0"/>
      </c>
    </row>
  </sheetData>
  <ignoredErrors>
    <ignoredError numberStoredAsText="1" sqref="A1:D4"/>
  </ignoredErrors>
</worksheet>
</file>

<file path=xl/worksheets/sheet194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2">
      <c r="B2">
        <f t="shared" si="0">B2+$A2+B$1+$D$4</f>
      </c>
    </row>
    <row r="3">
      <c r="B3">
        <f t="shared" si="0"/>
      </c>
    </row>
  </sheetData>
  <ignoredErrors>
    <ignoredError numberStoredAsText="1" sqref="A1:D4"/>
  </ignoredErrors>
</worksheet>
</file>

<file path=xl/worksheets/sheet195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2">
      <c r="B2">
        <f t="shared" si="0">B2+$A2+B$1+$D$4</f>
      </c>
    </row>
    <row r="3">
      <c r="C2">
        <f t="shared" si="0"/>
      </c>
    </row>
  </sheetData>
  <ignoredErrors>
    <ignoredError numberStoredAsText="1" sqref="A1:D4"/>
  </ignoredErrors>
</worksheet>
</file>

<file path=xl/worksheets/sheet196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2">
      <c r="B2">
        <f t="shared" si="0">B2+$A2+B$1+$D$4</f>
      </c>
    </row>
    <row r="3">
      <c r="C3">
        <f t="shared" si="0"/>
      </c>
    </row>
  </sheetData>
  <ignoredErrors>
    <ignoredError numberStoredAsText="1" sqref="A1:D4"/>
  </ignoredErrors>
</worksheet>
</file>

<file path=xl/worksheets/sheet197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2">
      <c r="B2">
        <f t="shared" si="0">IF(TRUE,SUM((A1):INDEX(A:A,10)),LOG10(B2))</f>
      </c>
    </row>
    <row r="3">
      <c r="C3">
        <f t="shared" si="0"/>
      </c>
    </row>
  </sheetData>
  <ignoredErrors>
    <ignoredError numberStoredAsText="1" sqref="A1:D4"/>
  </ignoredErrors>
</worksheet>
</file>

<file path=xl/worksheets/sheet198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2">
      <c r="B2">
        <f t="shared" si="0">[1]Q1!A1+[1]!B2+!C3</f>
      </c>
    </row>
    <row r="3">
      <c r="C3">
        <f t="shared" si="0"/>
      </c>
    </row>
  </sheetData>
  <ignoredErrors>
    <ignoredError numberStoredAsText="1" sqref="A1:D4"/>
  </ignoredErrors>
</worksheet>
</file>

<file path=xl/worksheets/sheet199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2">
      <c r="B2">
        <f t="shared" si="0">'Q1:Q3'!A1</f>
      </c>
    </row>
    <row r="3">
      <c r="C3">
        <f t="shared" si="0"/>
      </c>
    </row>
  </sheetData>
  <ignoredErrors>
    <ignoredError numberStoredAsText="1" sqref="A1:D4"/>
  </ignoredErrors>
</worksheet>
</file>

<file path=xl/worksheets/sheet200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2">
      <c r="B2">
        <f t="shared" si="0">A1:LastCell+Q1:Q3!A1+A1:INDEX(A:A,10)</f>
      </c>
    </row>
    <row r="3">
      <c r="C3">
        <f t="shared" si="0"/>
      </c>
    </row>
  </sheetData>
  <ignoredErrors>
    <ignoredError numberStoredAsText="1" sqref="A1:D4"/>
  </ignoredErrors>
</worksheet>
</file>

<file path=xl/worksheets/sheet201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2">
      <c r="B2">
        <f t="shared" si="0">SUM(Table1[A1'[B2],Table1[A1'#B2],Table1[A1''B2])+A1</f>
      </c>
    </row>
    <row r="3">
      <c r="C3">
        <f t="shared" si="0"/>
      </c>
    </row>
  </sheetData>
  <ignoredErrors>
    <ignoredError numberStoredAsText="1" sqref="A1:D4"/>
  </ignoredErrors>
</worksheet>
</file>

<file path=xl/worksheets/sheet202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2">
      <c r="B2">
        <f t="shared" si="0">A1:Table1[A1]+Table1[A1]:A1+(A1):B2+INDEX(A:A,1):B2</f>
      </c>
    </row>
    <row r="3">
      <c r="C3">
        <f t="shared" si="0"/>
      </c>
    </row>
  </sheetData>
  <ignoredErrors>
    <ignoredError numberStoredAsText="1" sqref="A1:D4"/>
  </ignoredErrors>
</worksheet>
</file>

<file path=xl/worksheets/sheet20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2">
      <c r="B2">
        <f t="shared" si="0">1E-10+1E+10+.5+2.5e-3+A1</f>
      </c>
    </row>
    <row r="3">
      <c r="C3">
        <f t="shared" si="0"/>
      </c>
    </row>
  </sheetData>
  <ignoredErrors>
    <ignoredError numberStoredAsText="1" sqref="A1:D4"/>
  </ignoredErrors>
</worksheet>
</file>

<file path=xl/worksheets/sheet204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2">
      <c r="B2">
        <f t="shared" si="0">TRUE+FALSE+#REF!+#N/A+#DIV/0!+#VALUE!+#NAME?+A1#</f>
      </c>
    </row>
    <row r="3">
      <c r="C3">
        <f t="shared" si="0"/>
      </c>
    </row>
  </sheetData>
  <ignoredErrors>
    <ignoredError numberStoredAsText="1" sqref="A1:D4"/>
  </ignoredErrors>
</worksheet>
</file>

<file path=xl/worksheets/sheet205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2" xml:space="preserve">
      <c r="B2" xml:space="preserve">
        <f t="shared" si="0">"A1_x000d_B2
C3"&amp;"A1""B2"&amp;A1_x000d_
+B2</f>
      </c>
    </row>
    <row r="3" xml:space="preserve">
      <c r="C3" xml:space="preserve">
        <f t="shared" si="0"/>
      </c>
    </row>
  </sheetData>
  <ignoredErrors>
    <ignoredError numberStoredAsText="1" sqref="A1:D4"/>
  </ignoredErrors>
</worksheet>
</file>

<file path=xl/worksheets/sheet206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2">
      <c r="B2">
        <f t="shared" si="0">~A1:A1+?B2*A1</f>
      </c>
    </row>
    <row r="3">
      <c r="C3">
        <f t="shared" si="0"/>
      </c>
    </row>
  </sheetData>
  <ignoredErrors>
    <ignoredError numberStoredAsText="1" sqref="A1:D4"/>
  </ignoredErrors>
</worksheet>
</file>

<file path=xl/worksheets/sheet207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2">
      <c r="B2">
        <f t="shared" si="0">A1+"B2+A1</f>
      </c>
    </row>
    <row r="3">
      <c r="C3">
        <f t="shared" si="0"/>
      </c>
    </row>
  </sheetData>
  <ignoredErrors>
    <ignoredError numberStoredAsText="1" sqref="A1:D4"/>
  </ignoredErrors>
</worksheet>
</file>

<file path=xl/worksheets/sheet208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2">
      <c r="B2">
        <f t="shared" si="0">A1+'Q1!B2+A1</f>
      </c>
    </row>
    <row r="3">
      <c r="C3">
        <f t="shared" si="0"/>
      </c>
    </row>
  </sheetData>
  <ignoredErrors>
    <ignoredError numberStoredAsText="1" sqref="A1:D4"/>
  </ignoredErrors>
</worksheet>
</file>

<file path=xl/worksheets/sheet209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2">
      <c r="B2">
        <f t="shared" si="0">A1+Table1[[B2]+A1</f>
      </c>
    </row>
    <row r="3">
      <c r="C3">
        <f t="shared" si="0"/>
      </c>
    </row>
  </sheetData>
  <ignoredErrors>
    <ignoredError numberStoredAsText="1" sqref="A1:D4"/>
  </ignoredErrors>
</worksheet>
</file>

<file path=xl/worksheets/sheet210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2">
      <c r="B2">
        <f t="shared" si="0">@A1%+B2#</f>
      </c>
    </row>
    <row r="3">
      <c r="C3">
        <f t="shared" si="0"/>
      </c>
    </row>
  </sheetData>
  <ignoredErrors>
    <ignoredError numberStoredAsText="1" sqref="A1:D4"/>
  </ignoredErrors>
</worksheet>
</file>

<file path=xl/worksheets/sheet211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2">
      <c r="B2">
        <f t="shared" si="0">$a$1+a$1+$a1</f>
      </c>
    </row>
    <row r="3">
      <c r="C3">
        <f t="shared" si="0"/>
      </c>
    </row>
  </sheetData>
  <ignoredErrors>
    <ignoredError numberStoredAsText="1" sqref="A1:D4"/>
  </ignoredErrors>
</worksheet>
</file>

<file path=xl/worksheets/sheet212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2">
      <c r="B2">
        <f t="shared" si="0">a$1+$a$1+$a:$b</f>
      </c>
    </row>
    <row r="3">
      <c r="B3">
        <f t="shared" si="0"/>
      </c>
    </row>
  </sheetData>
  <ignoredErrors>
    <ignoredError numberStoredAsText="1" sqref="A1:D4"/>
  </ignoredErrors>
</worksheet>
</file>

<file path=xl/worksheets/sheet21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2">
      <c r="B2">
        <f t="shared" si="0">$a1+$a$1+$1:$2</f>
      </c>
    </row>
    <row r="3">
      <c r="C2">
        <f t="shared" si="0"/>
      </c>
    </row>
  </sheetData>
  <ignoredErrors>
    <ignoredError numberStoredAsText="1" sqref="A1:D4"/>
  </ignoredErrors>
</worksheet>
</file>

<file path=xl/worksheets/sheet214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2">
      <c r="B2">
        <f t="shared" si="0">A1?+A1.name+A1_name+\A1+ΩA1(A1)</f>
      </c>
    </row>
    <row r="3">
      <c r="C3">
        <f t="shared" si="0"/>
      </c>
    </row>
  </sheetData>
  <ignoredErrors>
    <ignoredError numberStoredAsText="1" sqref="A1:D4"/>
  </ignoredErrors>
</worksheet>
</file>

<file path=xl/worksheets/sheet215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2">
      <c r="B2">
        <f t="shared" si="0">{"A1""B2",1E-10;TRUE,#REF!}&amp;A1</f>
      </c>
    </row>
    <row r="3">
      <c r="C3">
        <f t="shared" si="0"/>
      </c>
    </row>
  </sheetData>
  <ignoredErrors>
    <ignoredError numberStoredAsText="1" sqref="A1:D4"/>
  </ignoredErrors>
</worksheet>
</file>

<file path=xl/worksheets/sheet216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2">
      <c r="B2">
        <f t="shared" si="0">C3+$A3+C$1+$D$4</f>
      </c>
    </row>
    <row r="3">
      <c r="C3">
        <f t="shared" si="0"/>
      </c>
    </row>
  </sheetData>
  <ignoredErrors>
    <ignoredError numberStoredAsText="1" sqref="A1:D4"/>
  </ignoredErrors>
</worksheet>
</file>

<file path=xl/worksheets/sheet217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2">
      <c r="B2">
        <f t="shared" si="0">D4+$A4+D$1+$D$4</f>
      </c>
    </row>
    <row r="3">
      <c r="C3">
        <f t="shared" si="0"/>
      </c>
    </row>
  </sheetData>
  <ignoredErrors>
    <ignoredError numberStoredAsText="1" sqref="A1:D4"/>
  </ignoredErrors>
</worksheet>
</file>

<file path=xl/worksheets/sheet218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2">
      <c r="B2">
        <f t="shared" si="0">C3+$A3+C$1+$D$4</f>
      </c>
    </row>
    <row r="3">
      <c r="D4">
        <f t="shared" si="0"/>
      </c>
    </row>
  </sheetData>
  <ignoredErrors>
    <ignoredError numberStoredAsText="1" sqref="A1:D4"/>
  </ignoredErrors>
</worksheet>
</file>

<file path=xl/worksheets/sheet219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2">
      <c r="B2">
        <f t="shared" si="0">D4+$A4+D$1+$D$4</f>
      </c>
    </row>
    <row r="3">
      <c r="C3">
        <f t="shared" si="0"/>
      </c>
    </row>
  </sheetData>
  <ignoredErrors>
    <ignoredError numberStoredAsText="1" sqref="A1:D4"/>
  </ignoredErrors>
</worksheet>
</file>

<file path=xl/worksheets/sheet220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2">
      <c r="B2">
        <f t="shared" si="0">'Q1'!A1</f>
      </c>
    </row>
    <row r="3">
      <c r="B2">
        <f t="shared" si="0"/>
      </c>
    </row>
  </sheetData>
  <ignoredErrors>
    <ignoredError numberStoredAsText="1" sqref="A1:D4"/>
  </ignoredErrors>
</worksheet>
</file>

<file path=xl/worksheets/sheet221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2">
      <c r="B2">
        <f t="shared" si="0">'Q1''s 年'!A1</f>
      </c>
    </row>
    <row r="3">
      <c r="B2">
        <f t="shared" si="0"/>
      </c>
    </row>
  </sheetData>
  <ignoredErrors>
    <ignoredError numberStoredAsText="1" sqref="A1:D4"/>
  </ignoredErrors>
</worksheet>
</file>

<file path=xl/worksheets/sheet222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2">
      <c r="B2">
        <f t="shared" si="0">SUM(Table1[A1])+A1</f>
      </c>
    </row>
    <row r="3">
      <c r="B2">
        <f t="shared" si="0"/>
      </c>
    </row>
  </sheetData>
  <ignoredErrors>
    <ignoredError numberStoredAsText="1" sqref="A1:D4"/>
  </ignoredErrors>
</worksheet>
</file>

<file path=xl/worksheets/sheet22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2">
      <c r="B2">
        <f t="shared" si="0">SUM(Table1[[#Data],[A1]:[B2]])+A1</f>
      </c>
    </row>
    <row r="3">
      <c r="B2">
        <f t="shared" si="0"/>
      </c>
    </row>
  </sheetData>
  <ignoredErrors>
    <ignoredError numberStoredAsText="1" sqref="A1:D4"/>
  </ignoredErrors>
</worksheet>
</file>

<file path=xl/worksheets/sheet224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2">
      <c r="B2">
        <f t="shared" si="0">Q1年!A1</f>
      </c>
    </row>
    <row r="3">
      <c r="B2">
        <f t="shared" si="0"/>
      </c>
    </row>
  </sheetData>
  <ignoredErrors>
    <ignoredError numberStoredAsText="1" sqref="A1:D4"/>
  </ignoredErrors>
</worksheet>
</file>

<file path=xl/worksheets/sheet225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2">
      <c r="B2">
        <f t="shared" si="0">ΩA1+A1</f>
      </c>
    </row>
    <row r="3">
      <c r="B2">
        <f t="shared" si="0"/>
      </c>
    </row>
  </sheetData>
  <ignoredErrors>
    <ignoredError numberStoredAsText="1" sqref="A1:D4"/>
  </ignoredErrors>
</worksheet>
</file>

<file path=xl/worksheets/sheet226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2">
      <c r="B2">
        <f t="shared" si="0">A1é+A1</f>
      </c>
    </row>
    <row r="3">
      <c r="B2">
        <f t="shared" si="0"/>
      </c>
    </row>
  </sheetData>
  <ignoredErrors>
    <ignoredError numberStoredAsText="1" sqref="A1:D4"/>
  </ignoredErrors>
</worksheet>
</file>

<file path=xl/worksheets/sheet227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2">
      <c r="B2">
        <f t="shared" si="0">SUM(A1:INDEX(A:A,10))</f>
      </c>
    </row>
    <row r="3">
      <c r="B2">
        <f t="shared" si="0"/>
      </c>
    </row>
  </sheetData>
  <ignoredErrors>
    <ignoredError numberStoredAsText="1" sqref="A1:D4"/>
  </ignoredErrors>
</worksheet>
</file>

<file path=xl/worksheets/sheet228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2">
      <c r="B2">
        <f t="shared" si="0">SUM(A1:LastCell)</f>
      </c>
    </row>
    <row r="3">
      <c r="B2">
        <f t="shared" si="0"/>
      </c>
    </row>
  </sheetData>
  <ignoredErrors>
    <ignoredError numberStoredAsText="1" sqref="A1:D4"/>
  </ignoredErrors>
</worksheet>
</file>

<file path=xl/worksheets/sheet229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2">
      <c r="B2">
        <f t="shared" si="0">SUM(A1: A3)</f>
      </c>
    </row>
    <row r="3">
      <c r="B2">
        <f t="shared" si="0"/>
      </c>
    </row>
  </sheetData>
  <ignoredErrors>
    <ignoredError numberStoredAsText="1" sqref="A1:D4"/>
  </ignoredErrors>
</worksheet>
</file>

<file path=xl/worksheets/sheet230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2">
      <c r="B2">
        <f t="shared" si="0">SUM(Q1:Q3!A1)</f>
      </c>
    </row>
    <row r="3">
      <c r="B2">
        <f t="shared" si="0"/>
      </c>
    </row>
  </sheetData>
  <ignoredErrors>
    <ignoredError numberStoredAsText="1" sqref="A1:D4"/>
  </ignoredErrors>
</worksheet>
</file>

<file path=xl/worksheets/sheet231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2">
      <c r="B2">
        <f t="shared" si="0">"A1"&amp;A1</f>
      </c>
    </row>
    <row r="3">
      <c r="B2">
        <f t="shared" si="0"/>
      </c>
    </row>
  </sheetData>
  <ignoredErrors>
    <ignoredError numberStoredAsText="1" sqref="A1:D4"/>
  </ignoredErrors>
</worksheet>
</file>

<file path=xl/worksheets/sheet232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2">
      <c r="B2">
        <f t="shared" si="0">"A1""B2"&amp;A1</f>
      </c>
    </row>
    <row r="3">
      <c r="B2">
        <f t="shared" si="0"/>
      </c>
    </row>
  </sheetData>
  <ignoredErrors>
    <ignoredError numberStoredAsText="1" sqref="A1:D4"/>
  </ignoredErrors>
</worksheet>
</file>

<file path=xl/worksheets/sheet23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2">
      <c r="B2">
        <f t="shared" si="0">SUM(A:A)</f>
      </c>
    </row>
    <row r="3">
      <c r="B2">
        <f t="shared" si="0"/>
      </c>
    </row>
  </sheetData>
  <ignoredErrors>
    <ignoredError numberStoredAsText="1" sqref="A1:D4"/>
  </ignoredErrors>
</worksheet>
</file>

<file path=xl/worksheets/sheet234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2">
      <c r="B2">
        <f t="shared" si="0">SUM(1:1)</f>
      </c>
    </row>
    <row r="3">
      <c r="B2">
        <f t="shared" si="0"/>
      </c>
    </row>
  </sheetData>
  <ignoredErrors>
    <ignoredError numberStoredAsText="1" sqref="A1:D4"/>
  </ignoredErrors>
</worksheet>
</file>

<file path=xl/worksheets/sheet235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2">
      <c r="B2">
        <f t="shared" si="0">SUM($A:B)</f>
      </c>
    </row>
    <row r="3">
      <c r="B2">
        <f t="shared" si="0"/>
      </c>
    </row>
  </sheetData>
  <ignoredErrors>
    <ignoredError numberStoredAsText="1" sqref="A1:D4"/>
  </ignoredErrors>
</worksheet>
</file>

<file path=xl/worksheets/sheet236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2">
      <c r="B2">
        <f t="shared" si="0">SUM($1:2)</f>
      </c>
    </row>
    <row r="3">
      <c r="B2">
        <f t="shared" si="0"/>
      </c>
    </row>
  </sheetData>
  <ignoredErrors>
    <ignoredError numberStoredAsText="1" sqref="A1:D4"/>
  </ignoredErrors>
</worksheet>
</file>

<file path=xl/worksheets/sheet237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2">
      <c r="B2">
        <f t="shared" si="0">a1</f>
      </c>
    </row>
    <row r="3">
      <c r="B2">
        <f t="shared" si="0"/>
      </c>
    </row>
  </sheetData>
  <ignoredErrors>
    <ignoredError numberStoredAsText="1" sqref="A1:D4"/>
  </ignoredErrors>
</worksheet>
</file>

<file path=xl/worksheets/sheet238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2">
      <c r="B2">
        <f t="shared" si="0">A1+$B1+C$1+$D$1</f>
      </c>
    </row>
    <row r="3">
      <c r="B2">
        <f t="shared" si="0"/>
      </c>
    </row>
  </sheetData>
  <ignoredErrors>
    <ignoredError numberStoredAsText="1" sqref="A1:D4"/>
  </ignoredErrors>
</worksheet>
</file>

<file path=xl/worksheets/sheet239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2">
      <c r="B2">
        <f t="shared" si="0">LOG10(A1)</f>
      </c>
    </row>
    <row r="3">
      <c r="B2">
        <f t="shared" si="0"/>
      </c>
    </row>
  </sheetData>
  <ignoredErrors>
    <ignoredError numberStoredAsText="1" sqref="A1:D4"/>
  </ignoredErrors>
</worksheet>
</file>

<file path=xl/worksheets/sheet240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2">
      <c r="B2">
        <f t="shared" si="0">XFE1+A1048577+A1</f>
      </c>
    </row>
    <row r="3">
      <c r="B2">
        <f t="shared" si="0"/>
      </c>
    </row>
  </sheetData>
  <ignoredErrors>
    <ignoredError numberStoredAsText="1" sqref="A1:D4"/>
  </ignoredErrors>
</worksheet>
</file>

<file path=xl/worksheets/sheet241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2">
      <c r="B2">
        <f t="shared" si="0">'Q1'!LastCell+A1</f>
      </c>
    </row>
    <row r="3">
      <c r="B2">
        <f t="shared" si="0"/>
      </c>
    </row>
  </sheetData>
  <ignoredErrors>
    <ignoredError numberStoredAsText="1" sqref="A1:D4"/>
  </ignoredErrors>
</worksheet>
</file>

<file path=xl/worksheets/sheet242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2">
      <c r="B2">
        <f t="shared" si="0">'[1]Q1'!A1</f>
      </c>
    </row>
    <row r="3">
      <c r="B2">
        <f t="shared" si="0"/>
      </c>
    </row>
  </sheetData>
  <ignoredErrors>
    <ignoredError numberStoredAsText="1" sqref="A1:D4"/>
  </ignoredErrors>
</worksheet>
</file>

<file path=xl/worksheets/sheet24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2">
      <c r="B2">
        <f t="shared" si="0">SUM((A1,B2))</f>
      </c>
    </row>
    <row r="3">
      <c r="B2">
        <f t="shared" si="0"/>
      </c>
    </row>
  </sheetData>
  <ignoredErrors>
    <ignoredError numberStoredAsText="1" sqref="A1:D4"/>
  </ignoredErrors>
</worksheet>
</file>

<file path=xl/worksheets/sheet244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2">
      <c r="B2">
        <f t="shared" si="0">SUM(A1:B3 B2:C4)</f>
      </c>
    </row>
    <row r="3">
      <c r="B2">
        <f t="shared" si="0"/>
      </c>
    </row>
  </sheetData>
  <ignoredErrors>
    <ignoredError numberStoredAsText="1" sqref="A1:D4"/>
  </ignoredErrors>
</worksheet>
</file>

<file path=xl/worksheets/sheet245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2">
      <c r="B2">
        <f t="shared" si="0">RC+R1C1+R[-1]C[2]+A1</f>
      </c>
    </row>
    <row r="3">
      <c r="B2">
        <f t="shared" si="0"/>
      </c>
    </row>
  </sheetData>
  <ignoredErrors>
    <ignoredError numberStoredAsText="1" sqref="A1:D4"/>
  </ignoredErrors>
</worksheet>
</file>

<file path=xl/worksheets/sheet246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2">
      <c r="B2">
        <f t="shared" si="0">{"A1",1;"B2",2}&amp;A1</f>
      </c>
    </row>
    <row r="3">
      <c r="B2">
        <f t="shared" si="0"/>
      </c>
    </row>
  </sheetData>
  <ignoredErrors>
    <ignoredError numberStoredAsText="1" sqref="A1:D4"/>
  </ignoredErrors>
</worksheet>
</file>

<file path=xl/worksheets/sheet247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2">
      <c r="B2">
        <f t="shared" si="0">1E10+A1</f>
      </c>
    </row>
    <row r="3">
      <c r="B2">
        <f t="shared" si="0"/>
      </c>
    </row>
  </sheetData>
  <ignoredErrors>
    <ignoredError numberStoredAsText="1" sqref="A1:D4"/>
  </ignoredErrors>
</worksheet>
</file>

<file path=xl/worksheets/sheet248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2">
      <c r="B2">
        <f t="shared" si="0">SUM(A1:OFFSET(A1,2,0))</f>
      </c>
    </row>
    <row r="3">
      <c r="B2">
        <f t="shared" si="0"/>
      </c>
    </row>
  </sheetData>
  <ignoredErrors>
    <ignoredError numberStoredAsText="1" sqref="A1:D4"/>
  </ignoredErrors>
</worksheet>
</file>

<file path=xl/worksheets/sheet249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2">
      <c r="B2">
        <f t="shared" si="0">SUM((A1):INDEX(A:A,10))</f>
      </c>
    </row>
    <row r="3">
      <c r="B2">
        <f t="shared" si="0"/>
      </c>
    </row>
  </sheetData>
  <ignoredErrors>
    <ignoredError numberStoredAsText="1" sqref="A1:D4"/>
  </ignoredErrors>
</worksheet>
</file>

<file path=xl/worksheets/sheet250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2">
      <c r="B2">
        <f t="shared" si="0">A1+A1</f>
      </c>
    </row>
    <row r="3">
      <c r="B2">
        <f t="shared" si="0"/>
      </c>
    </row>
  </sheetData>
  <ignoredErrors>
    <ignoredError numberStoredAsText="1" sqref="A1:D4"/>
  </ignoredErrors>
</worksheet>
</file>

<file path=xl/worksheets/sheet251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2">
      <c r="B2">
        <f t="shared" si="0">SUM(A1,A1)</f>
      </c>
    </row>
    <row r="3">
      <c r="B2">
        <f t="shared" si="0"/>
      </c>
    </row>
  </sheetData>
  <ignoredErrors>
    <ignoredError numberStoredAsText="1" sqref="A1:D4"/>
  </ignoredErrors>
</worksheet>
</file>

<file path=xl/worksheets/sheet252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2">
      <c r="B2">
        <f t="shared" si="0">IF(TRUE,A1,A1)</f>
      </c>
    </row>
    <row r="3">
      <c r="B2">
        <f t="shared" si="0"/>
      </c>
    </row>
  </sheetData>
  <ignoredErrors>
    <ignoredError numberStoredAsText="1" sqref="A1:D4"/>
  </ignoredErrors>
</worksheet>
</file>

<file path=xl/worksheets/sheet25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2">
      <c r="B2">
        <f t="shared" si="0">A1&amp;"A1"</f>
      </c>
    </row>
    <row r="3">
      <c r="B2">
        <f t="shared" si="0"/>
      </c>
    </row>
  </sheetData>
  <ignoredErrors>
    <ignoredError numberStoredAsText="1" sqref="A1:D4"/>
  </ignoredErrors>
</worksheet>
</file>

<file path=xl/worksheets/sheet254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2">
      <c r="B2">
        <f t="shared" si="0">$A1+A1</f>
      </c>
    </row>
    <row r="3">
      <c r="B2">
        <f t="shared" si="0"/>
      </c>
    </row>
  </sheetData>
  <ignoredErrors>
    <ignoredError numberStoredAsText="1" sqref="A1:D4"/>
  </ignoredErrors>
</worksheet>
</file>

<file path=xl/worksheets/sheet255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2">
      <c r="B2">
        <f t="shared" si="0">SUM($A1,A1)</f>
      </c>
    </row>
    <row r="3">
      <c r="B2">
        <f t="shared" si="0"/>
      </c>
    </row>
  </sheetData>
  <ignoredErrors>
    <ignoredError numberStoredAsText="1" sqref="A1:D4"/>
  </ignoredErrors>
</worksheet>
</file>

<file path=xl/worksheets/sheet256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2">
      <c r="B2">
        <f t="shared" si="0">IF(TRUE,$A1,A1)</f>
      </c>
    </row>
    <row r="3">
      <c r="B2">
        <f t="shared" si="0"/>
      </c>
    </row>
  </sheetData>
  <ignoredErrors>
    <ignoredError numberStoredAsText="1" sqref="A1:D4"/>
  </ignoredErrors>
</worksheet>
</file>

<file path=xl/worksheets/sheet257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2">
      <c r="B2">
        <f t="shared" si="0">$A1&amp;"A1"</f>
      </c>
    </row>
    <row r="3">
      <c r="B2">
        <f t="shared" si="0"/>
      </c>
    </row>
  </sheetData>
  <ignoredErrors>
    <ignoredError numberStoredAsText="1" sqref="A1:D4"/>
  </ignoredErrors>
</worksheet>
</file>

<file path=xl/worksheets/sheet258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2">
      <c r="B2">
        <f t="shared" si="0">A$1+A1</f>
      </c>
    </row>
    <row r="3">
      <c r="B2">
        <f t="shared" si="0"/>
      </c>
    </row>
  </sheetData>
  <ignoredErrors>
    <ignoredError numberStoredAsText="1" sqref="A1:D4"/>
  </ignoredErrors>
</worksheet>
</file>

<file path=xl/worksheets/sheet259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2">
      <c r="B2">
        <f t="shared" si="0">SUM(A$1,A1)</f>
      </c>
    </row>
    <row r="3">
      <c r="B2">
        <f t="shared" si="0"/>
      </c>
    </row>
  </sheetData>
  <ignoredErrors>
    <ignoredError numberStoredAsText="1" sqref="A1:D4"/>
  </ignoredErrors>
</worksheet>
</file>

<file path=xl/worksheets/sheet260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2">
      <c r="B2">
        <f t="shared" si="0">IF(TRUE,A$1,A1)</f>
      </c>
    </row>
    <row r="3">
      <c r="B2">
        <f t="shared" si="0"/>
      </c>
    </row>
  </sheetData>
  <ignoredErrors>
    <ignoredError numberStoredAsText="1" sqref="A1:D4"/>
  </ignoredErrors>
</worksheet>
</file>

<file path=xl/worksheets/sheet261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2">
      <c r="B2">
        <f t="shared" si="0">A$1&amp;"A1"</f>
      </c>
    </row>
    <row r="3">
      <c r="B2">
        <f t="shared" si="0"/>
      </c>
    </row>
  </sheetData>
  <ignoredErrors>
    <ignoredError numberStoredAsText="1" sqref="A1:D4"/>
  </ignoredErrors>
</worksheet>
</file>

<file path=xl/worksheets/sheet262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2">
      <c r="B2">
        <f t="shared" si="0">$A$1+A1</f>
      </c>
    </row>
    <row r="3">
      <c r="B2">
        <f t="shared" si="0"/>
      </c>
    </row>
  </sheetData>
  <ignoredErrors>
    <ignoredError numberStoredAsText="1" sqref="A1:D4"/>
  </ignoredErrors>
</worksheet>
</file>

<file path=xl/worksheets/sheet26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2">
      <c r="B2">
        <f t="shared" si="0">SUM($A$1,A1)</f>
      </c>
    </row>
    <row r="3">
      <c r="B2">
        <f t="shared" si="0"/>
      </c>
    </row>
  </sheetData>
  <ignoredErrors>
    <ignoredError numberStoredAsText="1" sqref="A1:D4"/>
  </ignoredErrors>
</worksheet>
</file>

<file path=xl/worksheets/sheet264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2">
      <c r="B2">
        <f t="shared" si="0">IF(TRUE,$A$1,A1)</f>
      </c>
    </row>
    <row r="3">
      <c r="B2">
        <f t="shared" si="0"/>
      </c>
    </row>
  </sheetData>
  <ignoredErrors>
    <ignoredError numberStoredAsText="1" sqref="A1:D4"/>
  </ignoredErrors>
</worksheet>
</file>

<file path=xl/worksheets/sheet265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2">
      <c r="B2">
        <f t="shared" si="0">$A$1&amp;"A1"</f>
      </c>
    </row>
    <row r="3">
      <c r="B2">
        <f t="shared" si="0"/>
      </c>
    </row>
  </sheetData>
  <ignoredErrors>
    <ignoredError numberStoredAsText="1" sqref="A1:D4"/>
  </ignoredErrors>
</worksheet>
</file>

<file path=xl/worksheets/sheet266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2">
      <c r="B2">
        <f t="shared" si="0">a1+A1</f>
      </c>
    </row>
    <row r="3">
      <c r="B2">
        <f t="shared" si="0"/>
      </c>
    </row>
  </sheetData>
  <ignoredErrors>
    <ignoredError numberStoredAsText="1" sqref="A1:D4"/>
  </ignoredErrors>
</worksheet>
</file>

<file path=xl/worksheets/sheet267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2">
      <c r="B2">
        <f t="shared" si="0">SUM(a1,A1)</f>
      </c>
    </row>
    <row r="3">
      <c r="B2">
        <f t="shared" si="0"/>
      </c>
    </row>
  </sheetData>
  <ignoredErrors>
    <ignoredError numberStoredAsText="1" sqref="A1:D4"/>
  </ignoredErrors>
</worksheet>
</file>

<file path=xl/worksheets/sheet268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2">
      <c r="B2">
        <f t="shared" si="0">IF(TRUE,a1,A1)</f>
      </c>
    </row>
    <row r="3">
      <c r="B2">
        <f t="shared" si="0"/>
      </c>
    </row>
  </sheetData>
  <ignoredErrors>
    <ignoredError numberStoredAsText="1" sqref="A1:D4"/>
  </ignoredErrors>
</worksheet>
</file>

<file path=xl/worksheets/sheet269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2">
      <c r="B2">
        <f t="shared" si="0">a1&amp;"A1"</f>
      </c>
    </row>
    <row r="3">
      <c r="B2">
        <f t="shared" si="0"/>
      </c>
    </row>
  </sheetData>
  <ignoredErrors>
    <ignoredError numberStoredAsText="1" sqref="A1:D4"/>
  </ignoredErrors>
</worksheet>
</file>

<file path=xl/worksheets/sheet270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2">
      <c r="B2">
        <f t="shared" si="0">$a1+A1</f>
      </c>
    </row>
    <row r="3">
      <c r="B2">
        <f t="shared" si="0"/>
      </c>
    </row>
  </sheetData>
  <ignoredErrors>
    <ignoredError numberStoredAsText="1" sqref="A1:D4"/>
  </ignoredErrors>
</worksheet>
</file>

<file path=xl/worksheets/sheet271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2">
      <c r="B2">
        <f t="shared" si="0">SUM($a1,A1)</f>
      </c>
    </row>
    <row r="3">
      <c r="B2">
        <f t="shared" si="0"/>
      </c>
    </row>
  </sheetData>
  <ignoredErrors>
    <ignoredError numberStoredAsText="1" sqref="A1:D4"/>
  </ignoredErrors>
</worksheet>
</file>

<file path=xl/worksheets/sheet272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2">
      <c r="B2">
        <f t="shared" si="0">IF(TRUE,$a1,A1)</f>
      </c>
    </row>
    <row r="3">
      <c r="B2">
        <f t="shared" si="0"/>
      </c>
    </row>
  </sheetData>
  <ignoredErrors>
    <ignoredError numberStoredAsText="1" sqref="A1:D4"/>
  </ignoredErrors>
</worksheet>
</file>

<file path=xl/worksheets/sheet27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2">
      <c r="B2">
        <f t="shared" si="0">$a1&amp;"A1"</f>
      </c>
    </row>
    <row r="3">
      <c r="B2">
        <f t="shared" si="0"/>
      </c>
    </row>
  </sheetData>
  <ignoredErrors>
    <ignoredError numberStoredAsText="1" sqref="A1:D4"/>
  </ignoredErrors>
</worksheet>
</file>

<file path=xl/worksheets/sheet274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2">
      <c r="B2">
        <f t="shared" si="0">a$1+A1</f>
      </c>
    </row>
    <row r="3">
      <c r="B2">
        <f t="shared" si="0"/>
      </c>
    </row>
  </sheetData>
  <ignoredErrors>
    <ignoredError numberStoredAsText="1" sqref="A1:D4"/>
  </ignoredErrors>
</worksheet>
</file>

<file path=xl/worksheets/sheet275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2">
      <c r="B2">
        <f t="shared" si="0">SUM(a$1,A1)</f>
      </c>
    </row>
    <row r="3">
      <c r="B2">
        <f t="shared" si="0"/>
      </c>
    </row>
  </sheetData>
  <ignoredErrors>
    <ignoredError numberStoredAsText="1" sqref="A1:D4"/>
  </ignoredErrors>
</worksheet>
</file>

<file path=xl/worksheets/sheet276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2">
      <c r="B2">
        <f t="shared" si="0">IF(TRUE,a$1,A1)</f>
      </c>
    </row>
    <row r="3">
      <c r="B2">
        <f t="shared" si="0"/>
      </c>
    </row>
  </sheetData>
  <ignoredErrors>
    <ignoredError numberStoredAsText="1" sqref="A1:D4"/>
  </ignoredErrors>
</worksheet>
</file>

<file path=xl/worksheets/sheet277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2">
      <c r="B2">
        <f t="shared" si="0">a$1&amp;"A1"</f>
      </c>
    </row>
    <row r="3">
      <c r="B2">
        <f t="shared" si="0"/>
      </c>
    </row>
  </sheetData>
  <ignoredErrors>
    <ignoredError numberStoredAsText="1" sqref="A1:D4"/>
  </ignoredErrors>
</worksheet>
</file>

<file path=xl/worksheets/sheet278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2">
      <c r="B2">
        <f t="shared" si="0">$a$1+A1</f>
      </c>
    </row>
    <row r="3">
      <c r="B2">
        <f t="shared" si="0"/>
      </c>
    </row>
  </sheetData>
  <ignoredErrors>
    <ignoredError numberStoredAsText="1" sqref="A1:D4"/>
  </ignoredErrors>
</worksheet>
</file>

<file path=xl/worksheets/sheet279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2">
      <c r="B2">
        <f t="shared" si="0">SUM($a$1,A1)</f>
      </c>
    </row>
    <row r="3">
      <c r="B2">
        <f t="shared" si="0"/>
      </c>
    </row>
  </sheetData>
  <ignoredErrors>
    <ignoredError numberStoredAsText="1" sqref="A1:D4"/>
  </ignoredErrors>
</worksheet>
</file>

<file path=xl/worksheets/sheet280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2">
      <c r="B2">
        <f t="shared" si="0">IF(TRUE,$a$1,A1)</f>
      </c>
    </row>
    <row r="3">
      <c r="B2">
        <f t="shared" si="0"/>
      </c>
    </row>
  </sheetData>
  <ignoredErrors>
    <ignoredError numberStoredAsText="1" sqref="A1:D4"/>
  </ignoredErrors>
</worksheet>
</file>

<file path=xl/worksheets/sheet281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2">
      <c r="B2">
        <f t="shared" si="0">$a$1&amp;"A1"</f>
      </c>
    </row>
    <row r="3">
      <c r="B2">
        <f t="shared" si="0"/>
      </c>
    </row>
  </sheetData>
  <ignoredErrors>
    <ignoredError numberStoredAsText="1" sqref="A1:D4"/>
  </ignoredErrors>
</worksheet>
</file>

<file path=xl/worksheets/sheet282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2">
      <c r="B2">
        <f t="shared" si="0">Q1!A1+A1</f>
      </c>
    </row>
    <row r="3">
      <c r="B2">
        <f t="shared" si="0"/>
      </c>
    </row>
  </sheetData>
  <ignoredErrors>
    <ignoredError numberStoredAsText="1" sqref="A1:D4"/>
  </ignoredErrors>
</worksheet>
</file>

<file path=xl/worksheets/sheet28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2">
      <c r="B2">
        <f t="shared" si="0">SUM(Q1!A1,A1)</f>
      </c>
    </row>
    <row r="3">
      <c r="B2">
        <f t="shared" si="0"/>
      </c>
    </row>
  </sheetData>
  <ignoredErrors>
    <ignoredError numberStoredAsText="1" sqref="A1:D4"/>
  </ignoredErrors>
</worksheet>
</file>

<file path=xl/worksheets/sheet284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2">
      <c r="B2">
        <f t="shared" si="0">IF(TRUE,Q1!A1,A1)</f>
      </c>
    </row>
    <row r="3">
      <c r="B2">
        <f t="shared" si="0"/>
      </c>
    </row>
  </sheetData>
  <ignoredErrors>
    <ignoredError numberStoredAsText="1" sqref="A1:D4"/>
  </ignoredErrors>
</worksheet>
</file>

<file path=xl/worksheets/sheet285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2">
      <c r="B2">
        <f t="shared" si="0">Q1!A1&amp;"A1"</f>
      </c>
    </row>
    <row r="3">
      <c r="B2">
        <f t="shared" si="0"/>
      </c>
    </row>
  </sheetData>
  <ignoredErrors>
    <ignoredError numberStoredAsText="1" sqref="A1:D4"/>
  </ignoredErrors>
</worksheet>
</file>

<file path=xl/worksheets/sheet286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2">
      <c r="B2">
        <f t="shared" si="0">'Q1'!A1+A1</f>
      </c>
    </row>
    <row r="3">
      <c r="B2">
        <f t="shared" si="0"/>
      </c>
    </row>
  </sheetData>
  <ignoredErrors>
    <ignoredError numberStoredAsText="1" sqref="A1:D4"/>
  </ignoredErrors>
</worksheet>
</file>

<file path=xl/worksheets/sheet287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2">
      <c r="B2">
        <f t="shared" si="0">SUM('Q1'!A1,A1)</f>
      </c>
    </row>
    <row r="3">
      <c r="B2">
        <f t="shared" si="0"/>
      </c>
    </row>
  </sheetData>
  <ignoredErrors>
    <ignoredError numberStoredAsText="1" sqref="A1:D4"/>
  </ignoredErrors>
</worksheet>
</file>

<file path=xl/worksheets/sheet288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2">
      <c r="B2">
        <f t="shared" si="0">IF(TRUE,'Q1'!A1,A1)</f>
      </c>
    </row>
    <row r="3">
      <c r="B2">
        <f t="shared" si="0"/>
      </c>
    </row>
  </sheetData>
  <ignoredErrors>
    <ignoredError numberStoredAsText="1" sqref="A1:D4"/>
  </ignoredErrors>
</worksheet>
</file>

<file path=xl/worksheets/sheet289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2">
      <c r="B2">
        <f t="shared" si="0">'Q1'!A1&amp;"A1"</f>
      </c>
    </row>
    <row r="3">
      <c r="B2">
        <f t="shared" si="0"/>
      </c>
    </row>
  </sheetData>
  <ignoredErrors>
    <ignoredError numberStoredAsText="1" sqref="A1:D4"/>
  </ignoredErrors>
</worksheet>
</file>

<file path=xl/worksheets/sheet290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2">
      <c r="B2">
        <f t="shared" si="0">Q1年!A1+A1</f>
      </c>
    </row>
    <row r="3">
      <c r="B2">
        <f t="shared" si="0"/>
      </c>
    </row>
  </sheetData>
  <ignoredErrors>
    <ignoredError numberStoredAsText="1" sqref="A1:D4"/>
  </ignoredErrors>
</worksheet>
</file>

<file path=xl/worksheets/sheet291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2">
      <c r="B2">
        <f t="shared" si="0">SUM(Q1年!A1,A1)</f>
      </c>
    </row>
    <row r="3">
      <c r="B2">
        <f t="shared" si="0"/>
      </c>
    </row>
  </sheetData>
  <ignoredErrors>
    <ignoredError numberStoredAsText="1" sqref="A1:D4"/>
  </ignoredErrors>
</worksheet>
</file>

<file path=xl/worksheets/sheet292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2">
      <c r="B2">
        <f t="shared" si="0">IF(TRUE,Q1年!A1,A1)</f>
      </c>
    </row>
    <row r="3">
      <c r="B2">
        <f t="shared" si="0"/>
      </c>
    </row>
  </sheetData>
  <ignoredErrors>
    <ignoredError numberStoredAsText="1" sqref="A1:D4"/>
  </ignoredErrors>
</worksheet>
</file>

<file path=xl/worksheets/sheet29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2">
      <c r="B2">
        <f t="shared" si="0">Q1年!A1&amp;"A1"</f>
      </c>
    </row>
    <row r="3">
      <c r="B2">
        <f t="shared" si="0"/>
      </c>
    </row>
  </sheetData>
  <ignoredErrors>
    <ignoredError numberStoredAsText="1" sqref="A1:D4"/>
  </ignoredErrors>
</worksheet>
</file>

<file path=xl/worksheets/sheet294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2">
      <c r="B2">
        <f t="shared" si="0">'Q1''s 年'!A1+A1</f>
      </c>
    </row>
    <row r="3">
      <c r="B2">
        <f t="shared" si="0"/>
      </c>
    </row>
  </sheetData>
  <ignoredErrors>
    <ignoredError numberStoredAsText="1" sqref="A1:D4"/>
  </ignoredErrors>
</worksheet>
</file>

<file path=xl/worksheets/sheet295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2">
      <c r="B2">
        <f t="shared" si="0">SUM('Q1''s 年'!A1,A1)</f>
      </c>
    </row>
    <row r="3">
      <c r="B2">
        <f t="shared" si="0"/>
      </c>
    </row>
  </sheetData>
  <ignoredErrors>
    <ignoredError numberStoredAsText="1" sqref="A1:D4"/>
  </ignoredErrors>
</worksheet>
</file>

<file path=xl/worksheets/sheet296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2">
      <c r="B2">
        <f t="shared" si="0">IF(TRUE,'Q1''s 年'!A1,A1)</f>
      </c>
    </row>
    <row r="3">
      <c r="B2">
        <f t="shared" si="0"/>
      </c>
    </row>
  </sheetData>
  <ignoredErrors>
    <ignoredError numberStoredAsText="1" sqref="A1:D4"/>
  </ignoredErrors>
</worksheet>
</file>

<file path=xl/worksheets/sheet297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2">
      <c r="B2">
        <f t="shared" si="0">'Q1''s 年'!A1&amp;"A1"</f>
      </c>
    </row>
    <row r="3">
      <c r="B2">
        <f t="shared" si="0"/>
      </c>
    </row>
  </sheetData>
  <ignoredErrors>
    <ignoredError numberStoredAsText="1" sqref="A1:D4"/>
  </ignoredErrors>
</worksheet>
</file>

<file path=xl/worksheets/sheet298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2">
      <c r="B2">
        <f t="shared" si="0">Q1:Q3!A1+A1</f>
      </c>
    </row>
    <row r="3">
      <c r="B2">
        <f t="shared" si="0"/>
      </c>
    </row>
  </sheetData>
  <ignoredErrors>
    <ignoredError numberStoredAsText="1" sqref="A1:D4"/>
  </ignoredErrors>
</worksheet>
</file>

<file path=xl/worksheets/sheet299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2">
      <c r="B2">
        <f t="shared" si="0">SUM(Q1:Q3!A1,A1)</f>
      </c>
    </row>
    <row r="3">
      <c r="B2">
        <f t="shared" si="0"/>
      </c>
    </row>
  </sheetData>
  <ignoredErrors>
    <ignoredError numberStoredAsText="1" sqref="A1:D4"/>
  </ignoredErrors>
</worksheet>
</file>

<file path=xl/worksheets/sheet300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2">
      <c r="B2">
        <f t="shared" si="0">IF(TRUE,Q1:Q3!A1,A1)</f>
      </c>
    </row>
    <row r="3">
      <c r="B2">
        <f t="shared" si="0"/>
      </c>
    </row>
  </sheetData>
  <ignoredErrors>
    <ignoredError numberStoredAsText="1" sqref="A1:D4"/>
  </ignoredErrors>
</worksheet>
</file>

<file path=xl/worksheets/sheet301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2">
      <c r="B2">
        <f t="shared" si="0">Q1:Q3!A1&amp;"A1"</f>
      </c>
    </row>
    <row r="3">
      <c r="B2">
        <f t="shared" si="0"/>
      </c>
    </row>
  </sheetData>
  <ignoredErrors>
    <ignoredError numberStoredAsText="1" sqref="A1:D4"/>
  </ignoredErrors>
</worksheet>
</file>

<file path=xl/worksheets/sheet302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2">
      <c r="B2">
        <f t="shared" si="0">'[1]Q1'!A1+A1</f>
      </c>
    </row>
    <row r="3">
      <c r="B2">
        <f t="shared" si="0"/>
      </c>
    </row>
  </sheetData>
  <ignoredErrors>
    <ignoredError numberStoredAsText="1" sqref="A1:D4"/>
  </ignoredErrors>
</worksheet>
</file>

<file path=xl/worksheets/sheet30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2">
      <c r="B2">
        <f t="shared" si="0">SUM('[1]Q1'!A1,A1)</f>
      </c>
    </row>
    <row r="3">
      <c r="B2">
        <f t="shared" si="0"/>
      </c>
    </row>
  </sheetData>
  <ignoredErrors>
    <ignoredError numberStoredAsText="1" sqref="A1:D4"/>
  </ignoredErrors>
</worksheet>
</file>

<file path=xl/worksheets/sheet304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2">
      <c r="B2">
        <f t="shared" si="0">IF(TRUE,'[1]Q1'!A1,A1)</f>
      </c>
    </row>
    <row r="3">
      <c r="B2">
        <f t="shared" si="0"/>
      </c>
    </row>
  </sheetData>
  <ignoredErrors>
    <ignoredError numberStoredAsText="1" sqref="A1:D4"/>
  </ignoredErrors>
</worksheet>
</file>

<file path=xl/worksheets/sheet305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2">
      <c r="B2">
        <f t="shared" si="0">'[1]Q1'!A1&amp;"A1"</f>
      </c>
    </row>
    <row r="3">
      <c r="B2">
        <f t="shared" si="0"/>
      </c>
    </row>
  </sheetData>
  <ignoredErrors>
    <ignoredError numberStoredAsText="1" sqref="A1:D4"/>
  </ignoredErrors>
</worksheet>
</file>

<file path=xl/worksheets/sheet306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2">
      <c r="B2">
        <f t="shared" si="0">ΩA1+A1</f>
      </c>
    </row>
    <row r="3">
      <c r="B2">
        <f t="shared" si="0"/>
      </c>
    </row>
  </sheetData>
  <ignoredErrors>
    <ignoredError numberStoredAsText="1" sqref="A1:D4"/>
  </ignoredErrors>
</worksheet>
</file>

<file path=xl/worksheets/sheet307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2">
      <c r="B2">
        <f t="shared" si="0">SUM(ΩA1,A1)</f>
      </c>
    </row>
    <row r="3">
      <c r="B2">
        <f t="shared" si="0"/>
      </c>
    </row>
  </sheetData>
  <ignoredErrors>
    <ignoredError numberStoredAsText="1" sqref="A1:D4"/>
  </ignoredErrors>
</worksheet>
</file>

<file path=xl/worksheets/sheet308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2">
      <c r="B2">
        <f t="shared" si="0">IF(TRUE,ΩA1,A1)</f>
      </c>
    </row>
    <row r="3">
      <c r="B2">
        <f t="shared" si="0"/>
      </c>
    </row>
  </sheetData>
  <ignoredErrors>
    <ignoredError numberStoredAsText="1" sqref="A1:D4"/>
  </ignoredErrors>
</worksheet>
</file>

<file path=xl/worksheets/sheet309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2">
      <c r="B2">
        <f t="shared" si="0">ΩA1&amp;"A1"</f>
      </c>
    </row>
    <row r="3">
      <c r="B2">
        <f t="shared" si="0"/>
      </c>
    </row>
  </sheetData>
  <ignoredErrors>
    <ignoredError numberStoredAsText="1" sqref="A1:D4"/>
  </ignoredErrors>
</worksheet>
</file>

<file path=xl/worksheets/sheet310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2">
      <c r="B2">
        <f t="shared" si="0">A1é+A1</f>
      </c>
    </row>
    <row r="3">
      <c r="B2">
        <f t="shared" si="0"/>
      </c>
    </row>
  </sheetData>
  <ignoredErrors>
    <ignoredError numberStoredAsText="1" sqref="A1:D4"/>
  </ignoredErrors>
</worksheet>
</file>

<file path=xl/worksheets/sheet311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2">
      <c r="B2">
        <f t="shared" si="0">SUM(A1é,A1)</f>
      </c>
    </row>
    <row r="3">
      <c r="B2">
        <f t="shared" si="0"/>
      </c>
    </row>
  </sheetData>
  <ignoredErrors>
    <ignoredError numberStoredAsText="1" sqref="A1:D4"/>
  </ignoredErrors>
</worksheet>
</file>

<file path=xl/worksheets/sheet312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2">
      <c r="B2">
        <f t="shared" si="0">IF(TRUE,A1é,A1)</f>
      </c>
    </row>
    <row r="3">
      <c r="B2">
        <f t="shared" si="0"/>
      </c>
    </row>
  </sheetData>
  <ignoredErrors>
    <ignoredError numberStoredAsText="1" sqref="A1:D4"/>
  </ignoredErrors>
</worksheet>
</file>

<file path=xl/worksheets/sheet31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2">
      <c r="B2">
        <f t="shared" si="0">A1é&amp;"A1"</f>
      </c>
    </row>
    <row r="3">
      <c r="B2">
        <f t="shared" si="0"/>
      </c>
    </row>
  </sheetData>
  <ignoredErrors>
    <ignoredError numberStoredAsText="1" sqref="A1:D4"/>
  </ignoredErrors>
</worksheet>
</file>

<file path=xl/worksheets/sheet314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2">
      <c r="B2">
        <f t="shared" si="0">名A1+A1</f>
      </c>
    </row>
    <row r="3">
      <c r="B2">
        <f t="shared" si="0"/>
      </c>
    </row>
  </sheetData>
  <ignoredErrors>
    <ignoredError numberStoredAsText="1" sqref="A1:D4"/>
  </ignoredErrors>
</worksheet>
</file>

<file path=xl/worksheets/sheet315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2">
      <c r="B2">
        <f t="shared" si="0">SUM(名A1,A1)</f>
      </c>
    </row>
    <row r="3">
      <c r="B2">
        <f t="shared" si="0"/>
      </c>
    </row>
  </sheetData>
  <ignoredErrors>
    <ignoredError numberStoredAsText="1" sqref="A1:D4"/>
  </ignoredErrors>
</worksheet>
</file>

<file path=xl/worksheets/sheet316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2">
      <c r="B2">
        <f t="shared" si="0">IF(TRUE,名A1,A1)</f>
      </c>
    </row>
    <row r="3">
      <c r="B2">
        <f t="shared" si="0"/>
      </c>
    </row>
  </sheetData>
  <ignoredErrors>
    <ignoredError numberStoredAsText="1" sqref="A1:D4"/>
  </ignoredErrors>
</worksheet>
</file>

<file path=xl/worksheets/sheet317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2">
      <c r="B2">
        <f t="shared" si="0">名A1&amp;"A1"</f>
      </c>
    </row>
    <row r="3">
      <c r="B2">
        <f t="shared" si="0"/>
      </c>
    </row>
  </sheetData>
  <ignoredErrors>
    <ignoredError numberStoredAsText="1" sqref="A1:D4"/>
  </ignoredErrors>
</worksheet>
</file>

<file path=xl/worksheets/sheet318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2">
      <c r="B2">
        <f t="shared" si="0">A1_name+A1</f>
      </c>
    </row>
    <row r="3">
      <c r="B2">
        <f t="shared" si="0"/>
      </c>
    </row>
  </sheetData>
  <ignoredErrors>
    <ignoredError numberStoredAsText="1" sqref="A1:D4"/>
  </ignoredErrors>
</worksheet>
</file>

<file path=xl/worksheets/sheet319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2">
      <c r="B2">
        <f t="shared" si="0">SUM(A1_name,A1)</f>
      </c>
    </row>
    <row r="3">
      <c r="B2">
        <f t="shared" si="0"/>
      </c>
    </row>
  </sheetData>
  <ignoredErrors>
    <ignoredError numberStoredAsText="1" sqref="A1:D4"/>
  </ignoredErrors>
</worksheet>
</file>

<file path=xl/worksheets/sheet320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2">
      <c r="B2">
        <f t="shared" si="0">IF(TRUE,A1_name,A1)</f>
      </c>
    </row>
    <row r="3">
      <c r="B2">
        <f t="shared" si="0"/>
      </c>
    </row>
  </sheetData>
  <ignoredErrors>
    <ignoredError numberStoredAsText="1" sqref="A1:D4"/>
  </ignoredErrors>
</worksheet>
</file>

<file path=xl/worksheets/sheet321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2">
      <c r="B2">
        <f t="shared" si="0">A1_name&amp;"A1"</f>
      </c>
    </row>
    <row r="3">
      <c r="B2">
        <f t="shared" si="0"/>
      </c>
    </row>
  </sheetData>
  <ignoredErrors>
    <ignoredError numberStoredAsText="1" sqref="A1:D4"/>
  </ignoredErrors>
</worksheet>
</file>

<file path=xl/worksheets/sheet322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2">
      <c r="B2">
        <f t="shared" si="0">A1.name+A1</f>
      </c>
    </row>
    <row r="3">
      <c r="B2">
        <f t="shared" si="0"/>
      </c>
    </row>
  </sheetData>
  <ignoredErrors>
    <ignoredError numberStoredAsText="1" sqref="A1:D4"/>
  </ignoredErrors>
</worksheet>
</file>

<file path=xl/worksheets/sheet32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2">
      <c r="B2">
        <f t="shared" si="0">SUM(A1.name,A1)</f>
      </c>
    </row>
    <row r="3">
      <c r="B2">
        <f t="shared" si="0"/>
      </c>
    </row>
  </sheetData>
  <ignoredErrors>
    <ignoredError numberStoredAsText="1" sqref="A1:D4"/>
  </ignoredErrors>
</worksheet>
</file>

<file path=xl/worksheets/sheet324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2">
      <c r="B2">
        <f t="shared" si="0">IF(TRUE,A1.name,A1)</f>
      </c>
    </row>
    <row r="3">
      <c r="B2">
        <f t="shared" si="0"/>
      </c>
    </row>
  </sheetData>
  <ignoredErrors>
    <ignoredError numberStoredAsText="1" sqref="A1:D4"/>
  </ignoredErrors>
</worksheet>
</file>

<file path=xl/worksheets/sheet325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2">
      <c r="B2">
        <f t="shared" si="0">A1.name&amp;"A1"</f>
      </c>
    </row>
    <row r="3">
      <c r="B2">
        <f t="shared" si="0"/>
      </c>
    </row>
  </sheetData>
  <ignoredErrors>
    <ignoredError numberStoredAsText="1" sqref="A1:D4"/>
  </ignoredErrors>
</worksheet>
</file>

<file path=xl/worksheets/sheet326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2">
      <c r="B2">
        <f t="shared" si="0">\A1+A1</f>
      </c>
    </row>
    <row r="3">
      <c r="B2">
        <f t="shared" si="0"/>
      </c>
    </row>
  </sheetData>
  <ignoredErrors>
    <ignoredError numberStoredAsText="1" sqref="A1:D4"/>
  </ignoredErrors>
</worksheet>
</file>

<file path=xl/worksheets/sheet327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2">
      <c r="B2">
        <f t="shared" si="0">SUM(\A1,A1)</f>
      </c>
    </row>
    <row r="3">
      <c r="B2">
        <f t="shared" si="0"/>
      </c>
    </row>
  </sheetData>
  <ignoredErrors>
    <ignoredError numberStoredAsText="1" sqref="A1:D4"/>
  </ignoredErrors>
</worksheet>
</file>

<file path=xl/worksheets/sheet328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2">
      <c r="B2">
        <f t="shared" si="0">IF(TRUE,\A1,A1)</f>
      </c>
    </row>
    <row r="3">
      <c r="B2">
        <f t="shared" si="0"/>
      </c>
    </row>
  </sheetData>
  <ignoredErrors>
    <ignoredError numberStoredAsText="1" sqref="A1:D4"/>
  </ignoredErrors>
</worksheet>
</file>

<file path=xl/worksheets/sheet329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2">
      <c r="B2">
        <f t="shared" si="0">\A1&amp;"A1"</f>
      </c>
    </row>
    <row r="3">
      <c r="B2">
        <f t="shared" si="0"/>
      </c>
    </row>
  </sheetData>
  <ignoredErrors>
    <ignoredError numberStoredAsText="1" sqref="A1:D4"/>
  </ignoredErrors>
</worksheet>
</file>

<file path=xl/worksheets/sheet330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2">
      <c r="B2">
        <f t="shared" si="0">Table1[A1]+A1</f>
      </c>
    </row>
    <row r="3">
      <c r="B2">
        <f t="shared" si="0"/>
      </c>
    </row>
  </sheetData>
  <ignoredErrors>
    <ignoredError numberStoredAsText="1" sqref="A1:D4"/>
  </ignoredErrors>
</worksheet>
</file>

<file path=xl/worksheets/sheet331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2">
      <c r="B2">
        <f t="shared" si="0">SUM(Table1[A1],A1)</f>
      </c>
    </row>
    <row r="3">
      <c r="B2">
        <f t="shared" si="0"/>
      </c>
    </row>
  </sheetData>
  <ignoredErrors>
    <ignoredError numberStoredAsText="1" sqref="A1:D4"/>
  </ignoredErrors>
</worksheet>
</file>

<file path=xl/worksheets/sheet332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2">
      <c r="B2">
        <f t="shared" si="0">IF(TRUE,Table1[A1],A1)</f>
      </c>
    </row>
    <row r="3">
      <c r="B2">
        <f t="shared" si="0"/>
      </c>
    </row>
  </sheetData>
  <ignoredErrors>
    <ignoredError numberStoredAsText="1" sqref="A1:D4"/>
  </ignoredErrors>
</worksheet>
</file>

<file path=xl/worksheets/sheet33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2">
      <c r="B2">
        <f t="shared" si="0">Table1[A1]&amp;"A1"</f>
      </c>
    </row>
    <row r="3">
      <c r="B2">
        <f t="shared" si="0"/>
      </c>
    </row>
  </sheetData>
  <ignoredErrors>
    <ignoredError numberStoredAsText="1" sqref="A1:D4"/>
  </ignoredErrors>
</worksheet>
</file>

<file path=xl/worksheets/sheet334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2">
      <c r="B2">
        <f t="shared" si="0">Table1[[#Data],[A1]:[B2]]+A1</f>
      </c>
    </row>
    <row r="3">
      <c r="B2">
        <f t="shared" si="0"/>
      </c>
    </row>
  </sheetData>
  <ignoredErrors>
    <ignoredError numberStoredAsText="1" sqref="A1:D4"/>
  </ignoredErrors>
</worksheet>
</file>

<file path=xl/worksheets/sheet335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2">
      <c r="B2">
        <f t="shared" si="0">SUM(Table1[[#Data],[A1]:[B2]],A1)</f>
      </c>
    </row>
    <row r="3">
      <c r="B2">
        <f t="shared" si="0"/>
      </c>
    </row>
  </sheetData>
  <ignoredErrors>
    <ignoredError numberStoredAsText="1" sqref="A1:D4"/>
  </ignoredErrors>
</worksheet>
</file>

<file path=xl/worksheets/sheet336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2">
      <c r="B2">
        <f t="shared" si="0">IF(TRUE,Table1[[#Data],[A1]:[B2]],A1)</f>
      </c>
    </row>
    <row r="3">
      <c r="B2">
        <f t="shared" si="0"/>
      </c>
    </row>
  </sheetData>
  <ignoredErrors>
    <ignoredError numberStoredAsText="1" sqref="A1:D4"/>
  </ignoredErrors>
</worksheet>
</file>

<file path=xl/worksheets/sheet337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2">
      <c r="B2">
        <f t="shared" si="0">Table1[[#Data],[A1]:[B2]]&amp;"A1"</f>
      </c>
    </row>
    <row r="3">
      <c r="B2">
        <f t="shared" si="0"/>
      </c>
    </row>
  </sheetData>
  <ignoredErrors>
    <ignoredError numberStoredAsText="1" sqref="A1:D4"/>
  </ignoredErrors>
</worksheet>
</file>

<file path=xl/worksheets/sheet338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2">
      <c r="B2">
        <f t="shared" si="0">Table1[A1']B2]+A1</f>
      </c>
    </row>
    <row r="3">
      <c r="B2">
        <f t="shared" si="0"/>
      </c>
    </row>
  </sheetData>
  <ignoredErrors>
    <ignoredError numberStoredAsText="1" sqref="A1:D4"/>
  </ignoredErrors>
</worksheet>
</file>

<file path=xl/worksheets/sheet339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2">
      <c r="B2">
        <f t="shared" si="0">SUM(Table1[A1']B2],A1)</f>
      </c>
    </row>
    <row r="3">
      <c r="B2">
        <f t="shared" si="0"/>
      </c>
    </row>
  </sheetData>
  <ignoredErrors>
    <ignoredError numberStoredAsText="1" sqref="A1:D4"/>
  </ignoredErrors>
</worksheet>
</file>

<file path=xl/worksheets/sheet340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2">
      <c r="B2">
        <f t="shared" si="0">IF(TRUE,Table1[A1']B2],A1)</f>
      </c>
    </row>
    <row r="3">
      <c r="B2">
        <f t="shared" si="0"/>
      </c>
    </row>
  </sheetData>
  <ignoredErrors>
    <ignoredError numberStoredAsText="1" sqref="A1:D4"/>
  </ignoredErrors>
</worksheet>
</file>

<file path=xl/worksheets/sheet341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2">
      <c r="B2">
        <f t="shared" si="0">Table1[A1']B2]&amp;"A1"</f>
      </c>
    </row>
    <row r="3">
      <c r="B2">
        <f t="shared" si="0"/>
      </c>
    </row>
  </sheetData>
  <ignoredErrors>
    <ignoredError numberStoredAsText="1" sqref="A1:D4"/>
  </ignoredErrors>
</worksheet>
</file>

<file path=xl/worksheets/sheet342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2">
      <c r="B2">
        <f t="shared" si="0">[@A1]+A1</f>
      </c>
    </row>
    <row r="3">
      <c r="B2">
        <f t="shared" si="0"/>
      </c>
    </row>
  </sheetData>
  <ignoredErrors>
    <ignoredError numberStoredAsText="1" sqref="A1:D4"/>
  </ignoredErrors>
</worksheet>
</file>

<file path=xl/worksheets/sheet34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2">
      <c r="B2">
        <f t="shared" si="0">SUM([@A1],A1)</f>
      </c>
    </row>
    <row r="3">
      <c r="B2">
        <f t="shared" si="0"/>
      </c>
    </row>
  </sheetData>
  <ignoredErrors>
    <ignoredError numberStoredAsText="1" sqref="A1:D4"/>
  </ignoredErrors>
</worksheet>
</file>

<file path=xl/worksheets/sheet344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2">
      <c r="B2">
        <f t="shared" si="0">IF(TRUE,[@A1],A1)</f>
      </c>
    </row>
    <row r="3">
      <c r="B2">
        <f t="shared" si="0"/>
      </c>
    </row>
  </sheetData>
  <ignoredErrors>
    <ignoredError numberStoredAsText="1" sqref="A1:D4"/>
  </ignoredErrors>
</worksheet>
</file>

<file path=xl/worksheets/sheet345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2">
      <c r="B2">
        <f t="shared" si="0">[@A1]&amp;"A1"</f>
      </c>
    </row>
    <row r="3">
      <c r="B2">
        <f t="shared" si="0"/>
      </c>
    </row>
  </sheetData>
  <ignoredErrors>
    <ignoredError numberStoredAsText="1" sqref="A1:D4"/>
  </ignoredErrors>
</worksheet>
</file>

<file path=xl/worksheets/sheet346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2">
      <c r="B2">
        <f t="shared" si="0">"A1"+A1</f>
      </c>
    </row>
    <row r="3">
      <c r="B2">
        <f t="shared" si="0"/>
      </c>
    </row>
  </sheetData>
  <ignoredErrors>
    <ignoredError numberStoredAsText="1" sqref="A1:D4"/>
  </ignoredErrors>
</worksheet>
</file>

<file path=xl/worksheets/sheet347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2">
      <c r="B2">
        <f t="shared" si="0">SUM("A1",A1)</f>
      </c>
    </row>
    <row r="3">
      <c r="B2">
        <f t="shared" si="0"/>
      </c>
    </row>
  </sheetData>
  <ignoredErrors>
    <ignoredError numberStoredAsText="1" sqref="A1:D4"/>
  </ignoredErrors>
</worksheet>
</file>

<file path=xl/worksheets/sheet348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2">
      <c r="B2">
        <f t="shared" si="0">IF(TRUE,"A1",A1)</f>
      </c>
    </row>
    <row r="3">
      <c r="B2">
        <f t="shared" si="0"/>
      </c>
    </row>
  </sheetData>
  <ignoredErrors>
    <ignoredError numberStoredAsText="1" sqref="A1:D4"/>
  </ignoredErrors>
</worksheet>
</file>

<file path=xl/worksheets/sheet349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2">
      <c r="B2">
        <f t="shared" si="0">"A1"&amp;"A1"</f>
      </c>
    </row>
    <row r="3">
      <c r="B2">
        <f t="shared" si="0"/>
      </c>
    </row>
  </sheetData>
  <ignoredErrors>
    <ignoredError numberStoredAsText="1" sqref="A1:D4"/>
  </ignoredErrors>
</worksheet>
</file>

<file path=xl/worksheets/sheet350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2">
      <c r="B2">
        <f t="shared" si="0">"A1""B2"+A1</f>
      </c>
    </row>
    <row r="3">
      <c r="B2">
        <f t="shared" si="0"/>
      </c>
    </row>
  </sheetData>
  <ignoredErrors>
    <ignoredError numberStoredAsText="1" sqref="A1:D4"/>
  </ignoredErrors>
</worksheet>
</file>

<file path=xl/worksheets/sheet351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2">
      <c r="B2">
        <f t="shared" si="0">SUM("A1""B2",A1)</f>
      </c>
    </row>
    <row r="3">
      <c r="B2">
        <f t="shared" si="0"/>
      </c>
    </row>
  </sheetData>
  <ignoredErrors>
    <ignoredError numberStoredAsText="1" sqref="A1:D4"/>
  </ignoredErrors>
</worksheet>
</file>

<file path=xl/worksheets/sheet352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2">
      <c r="B2">
        <f t="shared" si="0">IF(TRUE,"A1""B2",A1)</f>
      </c>
    </row>
    <row r="3">
      <c r="B2">
        <f t="shared" si="0"/>
      </c>
    </row>
  </sheetData>
  <ignoredErrors>
    <ignoredError numberStoredAsText="1" sqref="A1:D4"/>
  </ignoredErrors>
</worksheet>
</file>

<file path=xl/worksheets/sheet35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2">
      <c r="B2">
        <f t="shared" si="0">"A1""B2"&amp;"A1"</f>
      </c>
    </row>
    <row r="3">
      <c r="B2">
        <f t="shared" si="0"/>
      </c>
    </row>
  </sheetData>
  <ignoredErrors>
    <ignoredError numberStoredAsText="1" sqref="A1:D4"/>
  </ignoredErrors>
</worksheet>
</file>

<file path=xl/worksheets/sheet354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2">
      <c r="B2">
        <f t="shared" si="0">A:A+A1</f>
      </c>
    </row>
    <row r="3">
      <c r="B2">
        <f t="shared" si="0"/>
      </c>
    </row>
  </sheetData>
  <ignoredErrors>
    <ignoredError numberStoredAsText="1" sqref="A1:D4"/>
  </ignoredErrors>
</worksheet>
</file>

<file path=xl/worksheets/sheet355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2">
      <c r="B2">
        <f t="shared" si="0">SUM(A:A,A1)</f>
      </c>
    </row>
    <row r="3">
      <c r="B2">
        <f t="shared" si="0"/>
      </c>
    </row>
  </sheetData>
  <ignoredErrors>
    <ignoredError numberStoredAsText="1" sqref="A1:D4"/>
  </ignoredErrors>
</worksheet>
</file>

<file path=xl/worksheets/sheet356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2">
      <c r="B2">
        <f t="shared" si="0">IF(TRUE,A:A,A1)</f>
      </c>
    </row>
    <row r="3">
      <c r="B2">
        <f t="shared" si="0"/>
      </c>
    </row>
  </sheetData>
  <ignoredErrors>
    <ignoredError numberStoredAsText="1" sqref="A1:D4"/>
  </ignoredErrors>
</worksheet>
</file>

<file path=xl/worksheets/sheet357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2">
      <c r="B2">
        <f t="shared" si="0">A:A&amp;"A1"</f>
      </c>
    </row>
    <row r="3">
      <c r="B2">
        <f t="shared" si="0"/>
      </c>
    </row>
  </sheetData>
  <ignoredErrors>
    <ignoredError numberStoredAsText="1" sqref="A1:D4"/>
  </ignoredErrors>
</worksheet>
</file>

<file path=xl/worksheets/sheet358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2">
      <c r="B2">
        <f t="shared" si="0">$A:B+A1</f>
      </c>
    </row>
    <row r="3">
      <c r="B2">
        <f t="shared" si="0"/>
      </c>
    </row>
  </sheetData>
  <ignoredErrors>
    <ignoredError numberStoredAsText="1" sqref="A1:D4"/>
  </ignoredErrors>
</worksheet>
</file>

<file path=xl/worksheets/sheet359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2">
      <c r="B2">
        <f t="shared" si="0">SUM($A:B,A1)</f>
      </c>
    </row>
    <row r="3">
      <c r="B2">
        <f t="shared" si="0"/>
      </c>
    </row>
  </sheetData>
  <ignoredErrors>
    <ignoredError numberStoredAsText="1" sqref="A1:D4"/>
  </ignoredErrors>
</worksheet>
</file>

<file path=xl/worksheets/sheet360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2">
      <c r="B2">
        <f t="shared" si="0">IF(TRUE,$A:B,A1)</f>
      </c>
    </row>
    <row r="3">
      <c r="B2">
        <f t="shared" si="0"/>
      </c>
    </row>
  </sheetData>
  <ignoredErrors>
    <ignoredError numberStoredAsText="1" sqref="A1:D4"/>
  </ignoredErrors>
</worksheet>
</file>

<file path=xl/worksheets/sheet361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2">
      <c r="B2">
        <f t="shared" si="0">$A:B&amp;"A1"</f>
      </c>
    </row>
    <row r="3">
      <c r="B2">
        <f t="shared" si="0"/>
      </c>
    </row>
  </sheetData>
  <ignoredErrors>
    <ignoredError numberStoredAsText="1" sqref="A1:D4"/>
  </ignoredErrors>
</worksheet>
</file>

<file path=xl/worksheets/sheet362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2">
      <c r="B2">
        <f t="shared" si="0">1:1+A1</f>
      </c>
    </row>
    <row r="3">
      <c r="B2">
        <f t="shared" si="0"/>
      </c>
    </row>
  </sheetData>
  <ignoredErrors>
    <ignoredError numberStoredAsText="1" sqref="A1:D4"/>
  </ignoredErrors>
</worksheet>
</file>

<file path=xl/worksheets/sheet36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2">
      <c r="B2">
        <f t="shared" si="0">SUM(1:1,A1)</f>
      </c>
    </row>
    <row r="3">
      <c r="B2">
        <f t="shared" si="0"/>
      </c>
    </row>
  </sheetData>
  <ignoredErrors>
    <ignoredError numberStoredAsText="1" sqref="A1:D4"/>
  </ignoredErrors>
</worksheet>
</file>

<file path=xl/worksheets/sheet364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2">
      <c r="B2">
        <f t="shared" si="0">IF(TRUE,1:1,A1)</f>
      </c>
    </row>
    <row r="3">
      <c r="B2">
        <f t="shared" si="0"/>
      </c>
    </row>
  </sheetData>
  <ignoredErrors>
    <ignoredError numberStoredAsText="1" sqref="A1:D4"/>
  </ignoredErrors>
</worksheet>
</file>

<file path=xl/worksheets/sheet365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2">
      <c r="B2">
        <f t="shared" si="0">1:1&amp;"A1"</f>
      </c>
    </row>
    <row r="3">
      <c r="B2">
        <f t="shared" si="0"/>
      </c>
    </row>
  </sheetData>
  <ignoredErrors>
    <ignoredError numberStoredAsText="1" sqref="A1:D4"/>
  </ignoredErrors>
</worksheet>
</file>

<file path=xl/worksheets/sheet366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2">
      <c r="B2">
        <f t="shared" si="0">$1:2+A1</f>
      </c>
    </row>
    <row r="3">
      <c r="B2">
        <f t="shared" si="0"/>
      </c>
    </row>
  </sheetData>
  <ignoredErrors>
    <ignoredError numberStoredAsText="1" sqref="A1:D4"/>
  </ignoredErrors>
</worksheet>
</file>

<file path=xl/worksheets/sheet367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2">
      <c r="B2">
        <f t="shared" si="0">SUM($1:2,A1)</f>
      </c>
    </row>
    <row r="3">
      <c r="B2">
        <f t="shared" si="0"/>
      </c>
    </row>
  </sheetData>
  <ignoredErrors>
    <ignoredError numberStoredAsText="1" sqref="A1:D4"/>
  </ignoredErrors>
</worksheet>
</file>

<file path=xl/worksheets/sheet368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2">
      <c r="B2">
        <f t="shared" si="0">IF(TRUE,$1:2,A1)</f>
      </c>
    </row>
    <row r="3">
      <c r="B2">
        <f t="shared" si="0"/>
      </c>
    </row>
  </sheetData>
  <ignoredErrors>
    <ignoredError numberStoredAsText="1" sqref="A1:D4"/>
  </ignoredErrors>
</worksheet>
</file>

<file path=xl/worksheets/sheet369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2">
      <c r="B2">
        <f t="shared" si="0">$1:2&amp;"A1"</f>
      </c>
    </row>
    <row r="3">
      <c r="B2">
        <f t="shared" si="0"/>
      </c>
    </row>
  </sheetData>
  <ignoredErrors>
    <ignoredError numberStoredAsText="1" sqref="A1:D4"/>
  </ignoredErrors>
</worksheet>
</file>

<file path=xl/worksheets/sheet370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2">
      <c r="B2">
        <f t="shared" si="0">A1:LastCell+A1</f>
      </c>
    </row>
    <row r="3">
      <c r="B2">
        <f t="shared" si="0"/>
      </c>
    </row>
  </sheetData>
  <ignoredErrors>
    <ignoredError numberStoredAsText="1" sqref="A1:D4"/>
  </ignoredErrors>
</worksheet>
</file>

<file path=xl/worksheets/sheet371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2">
      <c r="B2">
        <f t="shared" si="0">SUM(A1:LastCell,A1)</f>
      </c>
    </row>
    <row r="3">
      <c r="B2">
        <f t="shared" si="0"/>
      </c>
    </row>
  </sheetData>
  <ignoredErrors>
    <ignoredError numberStoredAsText="1" sqref="A1:D4"/>
  </ignoredErrors>
</worksheet>
</file>

<file path=xl/worksheets/sheet372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2">
      <c r="B2">
        <f t="shared" si="0">IF(TRUE,A1:LastCell,A1)</f>
      </c>
    </row>
    <row r="3">
      <c r="B2">
        <f t="shared" si="0"/>
      </c>
    </row>
  </sheetData>
  <ignoredErrors>
    <ignoredError numberStoredAsText="1" sqref="A1:D4"/>
  </ignoredErrors>
</worksheet>
</file>

<file path=xl/worksheets/sheet37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2">
      <c r="B2">
        <f t="shared" si="0">A1:LastCell&amp;"A1"</f>
      </c>
    </row>
    <row r="3">
      <c r="B2">
        <f t="shared" si="0"/>
      </c>
    </row>
  </sheetData>
  <ignoredErrors>
    <ignoredError numberStoredAsText="1" sqref="A1:D4"/>
  </ignoredErrors>
</worksheet>
</file>

<file path=xl/worksheets/sheet374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2">
      <c r="B2">
        <f t="shared" si="0">A1:INDEX(A:A,10)+A1</f>
      </c>
    </row>
    <row r="3">
      <c r="B2">
        <f t="shared" si="0"/>
      </c>
    </row>
  </sheetData>
  <ignoredErrors>
    <ignoredError numberStoredAsText="1" sqref="A1:D4"/>
  </ignoredErrors>
</worksheet>
</file>

<file path=xl/worksheets/sheet375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2">
      <c r="B2">
        <f t="shared" si="0">SUM(A1:INDEX(A:A,10),A1)</f>
      </c>
    </row>
    <row r="3">
      <c r="B2">
        <f t="shared" si="0"/>
      </c>
    </row>
  </sheetData>
  <ignoredErrors>
    <ignoredError numberStoredAsText="1" sqref="A1:D4"/>
  </ignoredErrors>
</worksheet>
</file>

<file path=xl/worksheets/sheet376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2">
      <c r="B2">
        <f t="shared" si="0">IF(TRUE,A1:INDEX(A:A,10),A1)</f>
      </c>
    </row>
    <row r="3">
      <c r="B2">
        <f t="shared" si="0"/>
      </c>
    </row>
  </sheetData>
  <ignoredErrors>
    <ignoredError numberStoredAsText="1" sqref="A1:D4"/>
  </ignoredErrors>
</worksheet>
</file>

<file path=xl/worksheets/sheet377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2">
      <c r="B2">
        <f t="shared" si="0">A1:INDEX(A:A,10)&amp;"A1"</f>
      </c>
    </row>
    <row r="3">
      <c r="B2">
        <f t="shared" si="0"/>
      </c>
    </row>
  </sheetData>
  <ignoredErrors>
    <ignoredError numberStoredAsText="1" sqref="A1:D4"/>
  </ignoredErrors>
</worksheet>
</file>

<file path=xl/worksheets/sheet378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2">
      <c r="B2">
        <f t="shared" si="0">A1:'Q1'!B2+A1</f>
      </c>
    </row>
    <row r="3">
      <c r="B2">
        <f t="shared" si="0"/>
      </c>
    </row>
  </sheetData>
  <ignoredErrors>
    <ignoredError numberStoredAsText="1" sqref="A1:D4"/>
  </ignoredErrors>
</worksheet>
</file>

<file path=xl/worksheets/sheet379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2">
      <c r="B2">
        <f t="shared" si="0">SUM(A1:'Q1'!B2,A1)</f>
      </c>
    </row>
    <row r="3">
      <c r="B2">
        <f t="shared" si="0"/>
      </c>
    </row>
  </sheetData>
  <ignoredErrors>
    <ignoredError numberStoredAsText="1" sqref="A1:D4"/>
  </ignoredErrors>
</worksheet>
</file>

<file path=xl/worksheets/sheet380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2">
      <c r="B2">
        <f t="shared" si="0">IF(TRUE,A1:'Q1'!B2,A1)</f>
      </c>
    </row>
    <row r="3">
      <c r="B2">
        <f t="shared" si="0"/>
      </c>
    </row>
  </sheetData>
  <ignoredErrors>
    <ignoredError numberStoredAsText="1" sqref="A1:D4"/>
  </ignoredErrors>
</worksheet>
</file>

<file path=xl/worksheets/sheet381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2">
      <c r="B2">
        <f t="shared" si="0">A1:'Q1'!B2&amp;"A1"</f>
      </c>
    </row>
    <row r="3">
      <c r="B2">
        <f t="shared" si="0"/>
      </c>
    </row>
  </sheetData>
  <ignoredErrors>
    <ignoredError numberStoredAsText="1" sqref="A1:D4"/>
  </ignoredErrors>
</worksheet>
</file>

<file path=xl/worksheets/sheet382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2">
      <c r="B2">
        <f t="shared" si="0">(A1):OFFSET(B2,1,0)+A1</f>
      </c>
    </row>
    <row r="3">
      <c r="B2">
        <f t="shared" si="0"/>
      </c>
    </row>
  </sheetData>
  <ignoredErrors>
    <ignoredError numberStoredAsText="1" sqref="A1:D4"/>
  </ignoredErrors>
</worksheet>
</file>

<file path=xl/worksheets/sheet38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2">
      <c r="B2">
        <f t="shared" si="0">SUM((A1):OFFSET(B2,1,0),A1)</f>
      </c>
    </row>
    <row r="3">
      <c r="B2">
        <f t="shared" si="0"/>
      </c>
    </row>
  </sheetData>
  <ignoredErrors>
    <ignoredError numberStoredAsText="1" sqref="A1:D4"/>
  </ignoredErrors>
</worksheet>
</file>

<file path=xl/worksheets/sheet384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2">
      <c r="B2">
        <f t="shared" si="0">IF(TRUE,(A1):OFFSET(B2,1,0),A1)</f>
      </c>
    </row>
    <row r="3">
      <c r="B2">
        <f t="shared" si="0"/>
      </c>
    </row>
  </sheetData>
  <ignoredErrors>
    <ignoredError numberStoredAsText="1" sqref="A1:D4"/>
  </ignoredErrors>
</worksheet>
</file>

<file path=xl/worksheets/sheet385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2">
      <c r="B2">
        <f t="shared" si="0">(A1):OFFSET(B2,1,0)&amp;"A1"</f>
      </c>
    </row>
    <row r="3">
      <c r="B2">
        <f t="shared" si="0"/>
      </c>
    </row>
  </sheetData>
  <ignoredErrors>
    <ignoredError numberStoredAsText="1" sqref="A1:D4"/>
  </ignoredErrors>
</worksheet>
</file>

<file path=xl/worksheets/sheet386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2">
      <c r="B2">
        <f t="shared" si="0">1E10+A1</f>
      </c>
    </row>
    <row r="3">
      <c r="B2">
        <f t="shared" si="0"/>
      </c>
    </row>
  </sheetData>
  <ignoredErrors>
    <ignoredError numberStoredAsText="1" sqref="A1:D4"/>
  </ignoredErrors>
</worksheet>
</file>

<file path=xl/worksheets/sheet387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2">
      <c r="B2">
        <f t="shared" si="0">SUM(1E10,A1)</f>
      </c>
    </row>
    <row r="3">
      <c r="B2">
        <f t="shared" si="0"/>
      </c>
    </row>
  </sheetData>
  <ignoredErrors>
    <ignoredError numberStoredAsText="1" sqref="A1:D4"/>
  </ignoredErrors>
</worksheet>
</file>

<file path=xl/worksheets/sheet388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2">
      <c r="B2">
        <f t="shared" si="0">IF(TRUE,1E10,A1)</f>
      </c>
    </row>
    <row r="3">
      <c r="B2">
        <f t="shared" si="0"/>
      </c>
    </row>
  </sheetData>
  <ignoredErrors>
    <ignoredError numberStoredAsText="1" sqref="A1:D4"/>
  </ignoredErrors>
</worksheet>
</file>

<file path=xl/worksheets/sheet389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2">
      <c r="B2">
        <f t="shared" si="0">1E10&amp;"A1"</f>
      </c>
    </row>
    <row r="3">
      <c r="B2">
        <f t="shared" si="0"/>
      </c>
    </row>
  </sheetData>
  <ignoredErrors>
    <ignoredError numberStoredAsText="1" sqref="A1:D4"/>
  </ignoredErrors>
</worksheet>
</file>

<file path=xl/worksheets/sheet390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2">
      <c r="B2">
        <f t="shared" si="0">TRUE+A1</f>
      </c>
    </row>
    <row r="3">
      <c r="B2">
        <f t="shared" si="0"/>
      </c>
    </row>
  </sheetData>
  <ignoredErrors>
    <ignoredError numberStoredAsText="1" sqref="A1:D4"/>
  </ignoredErrors>
</worksheet>
</file>

<file path=xl/worksheets/sheet391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2">
      <c r="B2">
        <f t="shared" si="0">SUM(TRUE,A1)</f>
      </c>
    </row>
    <row r="3">
      <c r="B2">
        <f t="shared" si="0"/>
      </c>
    </row>
  </sheetData>
  <ignoredErrors>
    <ignoredError numberStoredAsText="1" sqref="A1:D4"/>
  </ignoredErrors>
</worksheet>
</file>

<file path=xl/worksheets/sheet392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2">
      <c r="B2">
        <f t="shared" si="0">IF(TRUE,TRUE,A1)</f>
      </c>
    </row>
    <row r="3">
      <c r="B2">
        <f t="shared" si="0"/>
      </c>
    </row>
  </sheetData>
  <ignoredErrors>
    <ignoredError numberStoredAsText="1" sqref="A1:D4"/>
  </ignoredErrors>
</worksheet>
</file>

<file path=xl/worksheets/sheet39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2">
      <c r="B2">
        <f t="shared" si="0">TRUE&amp;"A1"</f>
      </c>
    </row>
    <row r="3">
      <c r="B2">
        <f t="shared" si="0"/>
      </c>
    </row>
  </sheetData>
  <ignoredErrors>
    <ignoredError numberStoredAsText="1" sqref="A1:D4"/>
  </ignoredErrors>
</worksheet>
</file>

<file path=xl/worksheets/sheet394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2">
      <c r="B2">
        <f t="shared" si="0">#REF!+A1</f>
      </c>
    </row>
    <row r="3">
      <c r="B2">
        <f t="shared" si="0"/>
      </c>
    </row>
  </sheetData>
  <ignoredErrors>
    <ignoredError numberStoredAsText="1" sqref="A1:D4"/>
  </ignoredErrors>
</worksheet>
</file>

<file path=xl/worksheets/sheet395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2">
      <c r="B2">
        <f t="shared" si="0">SUM(#REF!,A1)</f>
      </c>
    </row>
    <row r="3">
      <c r="B2">
        <f t="shared" si="0"/>
      </c>
    </row>
  </sheetData>
  <ignoredErrors>
    <ignoredError numberStoredAsText="1" sqref="A1:D4"/>
  </ignoredErrors>
</worksheet>
</file>

<file path=xl/worksheets/sheet396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2">
      <c r="B2">
        <f t="shared" si="0">IF(TRUE,#REF!,A1)</f>
      </c>
    </row>
    <row r="3">
      <c r="B2">
        <f t="shared" si="0"/>
      </c>
    </row>
  </sheetData>
  <ignoredErrors>
    <ignoredError numberStoredAsText="1" sqref="A1:D4"/>
  </ignoredErrors>
</worksheet>
</file>

<file path=xl/worksheets/sheet397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2">
      <c r="B2">
        <f t="shared" si="0">#REF!&amp;"A1"</f>
      </c>
    </row>
    <row r="3">
      <c r="B2">
        <f t="shared" si="0"/>
      </c>
    </row>
  </sheetData>
  <ignoredErrors>
    <ignoredError numberStoredAsText="1" sqref="A1:D4"/>
  </ignoredErrors>
</worksheet>
</file>

<file path=xl/worksheets/sheet398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2">
      <c r="B2">
        <f t="shared" si="0">XFE1+A1</f>
      </c>
    </row>
    <row r="3">
      <c r="B2">
        <f t="shared" si="0"/>
      </c>
    </row>
  </sheetData>
  <ignoredErrors>
    <ignoredError numberStoredAsText="1" sqref="A1:D4"/>
  </ignoredErrors>
</worksheet>
</file>

<file path=xl/worksheets/sheet399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2">
      <c r="B2">
        <f t="shared" si="0">SUM(XFE1,A1)</f>
      </c>
    </row>
    <row r="3">
      <c r="B2">
        <f t="shared" si="0"/>
      </c>
    </row>
  </sheetData>
  <ignoredErrors>
    <ignoredError numberStoredAsText="1" sqref="A1:D4"/>
  </ignoredErrors>
</worksheet>
</file>

<file path=xl/worksheets/sheet400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2">
      <c r="B2">
        <f t="shared" si="0">IF(TRUE,XFE1,A1)</f>
      </c>
    </row>
    <row r="3">
      <c r="B2">
        <f t="shared" si="0"/>
      </c>
    </row>
  </sheetData>
  <ignoredErrors>
    <ignoredError numberStoredAsText="1" sqref="A1:D4"/>
  </ignoredErrors>
</worksheet>
</file>

<file path=xl/worksheets/sheet401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2">
      <c r="B2">
        <f t="shared" si="0">XFE1&amp;"A1"</f>
      </c>
    </row>
    <row r="3">
      <c r="B2">
        <f t="shared" si="0"/>
      </c>
    </row>
  </sheetData>
  <ignoredErrors>
    <ignoredError numberStoredAsText="1" sqref="A1:D4"/>
  </ignoredErrors>
</worksheet>
</file>

<file path=xl/worksheets/sheet402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2">
      <c r="B2">
        <f t="shared" si="0">LOG10(A1)+A1</f>
      </c>
    </row>
    <row r="3">
      <c r="B2">
        <f t="shared" si="0"/>
      </c>
    </row>
  </sheetData>
  <ignoredErrors>
    <ignoredError numberStoredAsText="1" sqref="A1:D4"/>
  </ignoredErrors>
</worksheet>
</file>

<file path=xl/worksheets/sheet40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2">
      <c r="B2">
        <f t="shared" si="0">SUM(LOG10(A1),A1)</f>
      </c>
    </row>
    <row r="3">
      <c r="B2">
        <f t="shared" si="0"/>
      </c>
    </row>
  </sheetData>
  <ignoredErrors>
    <ignoredError numberStoredAsText="1" sqref="A1:D4"/>
  </ignoredErrors>
</worksheet>
</file>

<file path=xl/worksheets/sheet404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2">
      <c r="B2">
        <f t="shared" si="0">IF(TRUE,LOG10(A1),A1)</f>
      </c>
    </row>
    <row r="3">
      <c r="B2">
        <f t="shared" si="0"/>
      </c>
    </row>
  </sheetData>
  <ignoredErrors>
    <ignoredError numberStoredAsText="1" sqref="A1:D4"/>
  </ignoredErrors>
</worksheet>
</file>

<file path=xl/worksheets/sheet405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2">
      <c r="B2">
        <f t="shared" si="0">LOG10(A1)&amp;"A1"</f>
      </c>
    </row>
    <row r="3">
      <c r="B2">
        <f t="shared" si="0"/>
      </c>
    </row>
  </sheetData>
  <ignoredErrors>
    <ignoredError numberStoredAsText="1" sqref="A1:D4"/>
  </ignoredErrors>
</worksheet>
</file>

<file path=xl/worksheets/sheet406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2">
      <c r="B2">
        <f t="shared" si="0">ΩA1(A1)+A1</f>
      </c>
    </row>
    <row r="3">
      <c r="B2">
        <f t="shared" si="0"/>
      </c>
    </row>
  </sheetData>
  <ignoredErrors>
    <ignoredError numberStoredAsText="1" sqref="A1:D4"/>
  </ignoredErrors>
</worksheet>
</file>

<file path=xl/worksheets/sheet407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2">
      <c r="B2">
        <f t="shared" si="0">SUM(ΩA1(A1),A1)</f>
      </c>
    </row>
    <row r="3">
      <c r="B2">
        <f t="shared" si="0"/>
      </c>
    </row>
  </sheetData>
  <ignoredErrors>
    <ignoredError numberStoredAsText="1" sqref="A1:D4"/>
  </ignoredErrors>
</worksheet>
</file>

<file path=xl/worksheets/sheet408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2">
      <c r="B2">
        <f t="shared" si="0">IF(TRUE,ΩA1(A1),A1)</f>
      </c>
    </row>
    <row r="3">
      <c r="B2">
        <f t="shared" si="0"/>
      </c>
    </row>
  </sheetData>
  <ignoredErrors>
    <ignoredError numberStoredAsText="1" sqref="A1:D4"/>
  </ignoredErrors>
</worksheet>
</file>

<file path=xl/worksheets/sheet409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2">
      <c r="B2">
        <f t="shared" si="0">ΩA1(A1)&amp;"A1"</f>
      </c>
    </row>
    <row r="3">
      <c r="B2">
        <f t="shared" si="0"/>
      </c>
    </row>
  </sheetData>
  <ignoredErrors>
    <ignoredError numberStoredAsText="1" sqref="A1:D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409</vt:i4>
      </vt:variant>
    </vt:vector>
  </HeadingPairs>
  <TitlesOfParts>
    <vt:vector size="409" baseType="lpstr">
      <vt:lpstr>Case0</vt:lpstr>
      <vt:lpstr>Case1</vt:lpstr>
      <vt:lpstr>Case2</vt:lpstr>
      <vt:lpstr>Case3</vt:lpstr>
      <vt:lpstr>Case4</vt:lpstr>
      <vt:lpstr>Case5</vt:lpstr>
      <vt:lpstr>Case6</vt:lpstr>
      <vt:lpstr>Case7</vt:lpstr>
      <vt:lpstr>Case8</vt:lpstr>
      <vt:lpstr>Case9</vt:lpstr>
      <vt:lpstr>Case10</vt:lpstr>
      <vt:lpstr>Case11</vt:lpstr>
      <vt:lpstr>Case12</vt:lpstr>
      <vt:lpstr>Case13</vt:lpstr>
      <vt:lpstr>Case14</vt:lpstr>
      <vt:lpstr>Case15</vt:lpstr>
      <vt:lpstr>Case16</vt:lpstr>
      <vt:lpstr>Case17</vt:lpstr>
      <vt:lpstr>Case18</vt:lpstr>
      <vt:lpstr>Case19</vt:lpstr>
      <vt:lpstr>Case20</vt:lpstr>
      <vt:lpstr>Case21</vt:lpstr>
      <vt:lpstr>Case22</vt:lpstr>
      <vt:lpstr>Case23</vt:lpstr>
      <vt:lpstr>Case24</vt:lpstr>
      <vt:lpstr>Case25</vt:lpstr>
      <vt:lpstr>Case26</vt:lpstr>
      <vt:lpstr>Case27</vt:lpstr>
      <vt:lpstr>Case28</vt:lpstr>
      <vt:lpstr>Case29</vt:lpstr>
      <vt:lpstr>Case30</vt:lpstr>
      <vt:lpstr>Case31</vt:lpstr>
      <vt:lpstr>Case32</vt:lpstr>
      <vt:lpstr>Case33</vt:lpstr>
      <vt:lpstr>Case34</vt:lpstr>
      <vt:lpstr>Case35</vt:lpstr>
      <vt:lpstr>Case36</vt:lpstr>
      <vt:lpstr>Case37</vt:lpstr>
      <vt:lpstr>Case38</vt:lpstr>
      <vt:lpstr>Case39</vt:lpstr>
      <vt:lpstr>Case40</vt:lpstr>
      <vt:lpstr>Case41</vt:lpstr>
      <vt:lpstr>Case42</vt:lpstr>
      <vt:lpstr>Case43</vt:lpstr>
      <vt:lpstr>Case44</vt:lpstr>
      <vt:lpstr>Case45</vt:lpstr>
      <vt:lpstr>Case46</vt:lpstr>
      <vt:lpstr>Case47</vt:lpstr>
      <vt:lpstr>Case48</vt:lpstr>
      <vt:lpstr>Case49</vt:lpstr>
      <vt:lpstr>Case50</vt:lpstr>
      <vt:lpstr>Case51</vt:lpstr>
      <vt:lpstr>Case52</vt:lpstr>
      <vt:lpstr>Case53</vt:lpstr>
      <vt:lpstr>Case54</vt:lpstr>
      <vt:lpstr>Case55</vt:lpstr>
      <vt:lpstr>Case56</vt:lpstr>
      <vt:lpstr>Case57</vt:lpstr>
      <vt:lpstr>Case58</vt:lpstr>
      <vt:lpstr>Case59</vt:lpstr>
      <vt:lpstr>Case60</vt:lpstr>
      <vt:lpstr>Case61</vt:lpstr>
      <vt:lpstr>Case62</vt:lpstr>
      <vt:lpstr>Case63</vt:lpstr>
      <vt:lpstr>Case64</vt:lpstr>
      <vt:lpstr>Case65</vt:lpstr>
      <vt:lpstr>Case66</vt:lpstr>
      <vt:lpstr>Case67</vt:lpstr>
      <vt:lpstr>Case68</vt:lpstr>
      <vt:lpstr>Case69</vt:lpstr>
      <vt:lpstr>Case70</vt:lpstr>
      <vt:lpstr>Case71</vt:lpstr>
      <vt:lpstr>Case72</vt:lpstr>
      <vt:lpstr>Case73</vt:lpstr>
      <vt:lpstr>Case74</vt:lpstr>
      <vt:lpstr>Case75</vt:lpstr>
      <vt:lpstr>Case76</vt:lpstr>
      <vt:lpstr>Case77</vt:lpstr>
      <vt:lpstr>Case78</vt:lpstr>
      <vt:lpstr>Case79</vt:lpstr>
      <vt:lpstr>Case80</vt:lpstr>
      <vt:lpstr>Case81</vt:lpstr>
      <vt:lpstr>Case82</vt:lpstr>
      <vt:lpstr>Case83</vt:lpstr>
      <vt:lpstr>Case84</vt:lpstr>
      <vt:lpstr>Case85</vt:lpstr>
      <vt:lpstr>Case86</vt:lpstr>
      <vt:lpstr>Case87</vt:lpstr>
      <vt:lpstr>Case88</vt:lpstr>
      <vt:lpstr>Case89</vt:lpstr>
      <vt:lpstr>Case90</vt:lpstr>
      <vt:lpstr>Case91</vt:lpstr>
      <vt:lpstr>Case92</vt:lpstr>
      <vt:lpstr>Case93</vt:lpstr>
      <vt:lpstr>Case94</vt:lpstr>
      <vt:lpstr>Case95</vt:lpstr>
      <vt:lpstr>Case96</vt:lpstr>
      <vt:lpstr>Case97</vt:lpstr>
      <vt:lpstr>Case98</vt:lpstr>
      <vt:lpstr>Case99</vt:lpstr>
      <vt:lpstr>Case100</vt:lpstr>
      <vt:lpstr>Case101</vt:lpstr>
      <vt:lpstr>Case102</vt:lpstr>
      <vt:lpstr>Case103</vt:lpstr>
      <vt:lpstr>Case104</vt:lpstr>
      <vt:lpstr>Case105</vt:lpstr>
      <vt:lpstr>Case106</vt:lpstr>
      <vt:lpstr>Case107</vt:lpstr>
      <vt:lpstr>Case108</vt:lpstr>
      <vt:lpstr>Case109</vt:lpstr>
      <vt:lpstr>Case110</vt:lpstr>
      <vt:lpstr>Case111</vt:lpstr>
      <vt:lpstr>Case112</vt:lpstr>
      <vt:lpstr>Case113</vt:lpstr>
      <vt:lpstr>Case114</vt:lpstr>
      <vt:lpstr>Case115</vt:lpstr>
      <vt:lpstr>Case116</vt:lpstr>
      <vt:lpstr>Case117</vt:lpstr>
      <vt:lpstr>Case118</vt:lpstr>
      <vt:lpstr>Case119</vt:lpstr>
      <vt:lpstr>Case120</vt:lpstr>
      <vt:lpstr>Case121</vt:lpstr>
      <vt:lpstr>Case122</vt:lpstr>
      <vt:lpstr>Case123</vt:lpstr>
      <vt:lpstr>Case124</vt:lpstr>
      <vt:lpstr>Case125</vt:lpstr>
      <vt:lpstr>Case126</vt:lpstr>
      <vt:lpstr>Case127</vt:lpstr>
      <vt:lpstr>Case128</vt:lpstr>
      <vt:lpstr>Case129</vt:lpstr>
      <vt:lpstr>Case130</vt:lpstr>
      <vt:lpstr>Case131</vt:lpstr>
      <vt:lpstr>Case132</vt:lpstr>
      <vt:lpstr>Case133</vt:lpstr>
      <vt:lpstr>Case134</vt:lpstr>
      <vt:lpstr>Case135</vt:lpstr>
      <vt:lpstr>Case136</vt:lpstr>
      <vt:lpstr>Case137</vt:lpstr>
      <vt:lpstr>Case138</vt:lpstr>
      <vt:lpstr>Case139</vt:lpstr>
      <vt:lpstr>Case140</vt:lpstr>
      <vt:lpstr>Case141</vt:lpstr>
      <vt:lpstr>Case142</vt:lpstr>
      <vt:lpstr>Case143</vt:lpstr>
      <vt:lpstr>Case144</vt:lpstr>
      <vt:lpstr>Case145</vt:lpstr>
      <vt:lpstr>Case146</vt:lpstr>
      <vt:lpstr>Case147</vt:lpstr>
      <vt:lpstr>Case148</vt:lpstr>
      <vt:lpstr>Case149</vt:lpstr>
      <vt:lpstr>Case150</vt:lpstr>
      <vt:lpstr>Case151</vt:lpstr>
      <vt:lpstr>Case152</vt:lpstr>
      <vt:lpstr>Case153</vt:lpstr>
      <vt:lpstr>Case154</vt:lpstr>
      <vt:lpstr>Case155</vt:lpstr>
      <vt:lpstr>Case156</vt:lpstr>
      <vt:lpstr>Case157</vt:lpstr>
      <vt:lpstr>Case158</vt:lpstr>
      <vt:lpstr>Case159</vt:lpstr>
      <vt:lpstr>Case160</vt:lpstr>
      <vt:lpstr>Case161</vt:lpstr>
      <vt:lpstr>Case162</vt:lpstr>
      <vt:lpstr>Case163</vt:lpstr>
      <vt:lpstr>Case164</vt:lpstr>
      <vt:lpstr>Case165</vt:lpstr>
      <vt:lpstr>Case166</vt:lpstr>
      <vt:lpstr>Case167</vt:lpstr>
      <vt:lpstr>Case168</vt:lpstr>
      <vt:lpstr>Case169</vt:lpstr>
      <vt:lpstr>Case170</vt:lpstr>
      <vt:lpstr>Case171</vt:lpstr>
      <vt:lpstr>Case172</vt:lpstr>
      <vt:lpstr>Case173</vt:lpstr>
      <vt:lpstr>Case174</vt:lpstr>
      <vt:lpstr>Case175</vt:lpstr>
      <vt:lpstr>Case176</vt:lpstr>
      <vt:lpstr>Case177</vt:lpstr>
      <vt:lpstr>Case178</vt:lpstr>
      <vt:lpstr>Case179</vt:lpstr>
      <vt:lpstr>Case180</vt:lpstr>
      <vt:lpstr>Case181</vt:lpstr>
      <vt:lpstr>Case182</vt:lpstr>
      <vt:lpstr>Case183</vt:lpstr>
      <vt:lpstr>Case184</vt:lpstr>
      <vt:lpstr>Case185</vt:lpstr>
      <vt:lpstr>Case186</vt:lpstr>
      <vt:lpstr>Case187</vt:lpstr>
      <vt:lpstr>Case188</vt:lpstr>
      <vt:lpstr>Case189</vt:lpstr>
      <vt:lpstr>Case190</vt:lpstr>
      <vt:lpstr>Case191</vt:lpstr>
      <vt:lpstr>Case192</vt:lpstr>
      <vt:lpstr>Case193</vt:lpstr>
      <vt:lpstr>Case194</vt:lpstr>
      <vt:lpstr>Case195</vt:lpstr>
      <vt:lpstr>Case196</vt:lpstr>
      <vt:lpstr>Case197</vt:lpstr>
      <vt:lpstr>Case198</vt:lpstr>
      <vt:lpstr>Case199</vt:lpstr>
      <vt:lpstr>Case200</vt:lpstr>
      <vt:lpstr>Case201</vt:lpstr>
      <vt:lpstr>Case202</vt:lpstr>
      <vt:lpstr>Case203</vt:lpstr>
      <vt:lpstr>Case204</vt:lpstr>
      <vt:lpstr>Case205</vt:lpstr>
      <vt:lpstr>Case206</vt:lpstr>
      <vt:lpstr>Case207</vt:lpstr>
      <vt:lpstr>Case208</vt:lpstr>
      <vt:lpstr>Case209</vt:lpstr>
      <vt:lpstr>Case210</vt:lpstr>
      <vt:lpstr>Case211</vt:lpstr>
      <vt:lpstr>Case212</vt:lpstr>
      <vt:lpstr>Case213</vt:lpstr>
      <vt:lpstr>Case214</vt:lpstr>
      <vt:lpstr>Case215</vt:lpstr>
      <vt:lpstr>Case216</vt:lpstr>
      <vt:lpstr>Case217</vt:lpstr>
      <vt:lpstr>Case218</vt:lpstr>
      <vt:lpstr>Case219</vt:lpstr>
      <vt:lpstr>Case220</vt:lpstr>
      <vt:lpstr>Case221</vt:lpstr>
      <vt:lpstr>Case222</vt:lpstr>
      <vt:lpstr>Case223</vt:lpstr>
      <vt:lpstr>Case224</vt:lpstr>
      <vt:lpstr>Case225</vt:lpstr>
      <vt:lpstr>Case226</vt:lpstr>
      <vt:lpstr>Case227</vt:lpstr>
      <vt:lpstr>Case228</vt:lpstr>
      <vt:lpstr>Case229</vt:lpstr>
      <vt:lpstr>Case230</vt:lpstr>
      <vt:lpstr>Case231</vt:lpstr>
      <vt:lpstr>Case232</vt:lpstr>
      <vt:lpstr>Case233</vt:lpstr>
      <vt:lpstr>Case234</vt:lpstr>
      <vt:lpstr>Case235</vt:lpstr>
      <vt:lpstr>Case236</vt:lpstr>
      <vt:lpstr>Case237</vt:lpstr>
      <vt:lpstr>Case238</vt:lpstr>
      <vt:lpstr>Case239</vt:lpstr>
      <vt:lpstr>Case240</vt:lpstr>
      <vt:lpstr>Case241</vt:lpstr>
      <vt:lpstr>Case242</vt:lpstr>
      <vt:lpstr>Case243</vt:lpstr>
      <vt:lpstr>Case244</vt:lpstr>
      <vt:lpstr>Case245</vt:lpstr>
      <vt:lpstr>Case246</vt:lpstr>
      <vt:lpstr>Case247</vt:lpstr>
      <vt:lpstr>Case248</vt:lpstr>
      <vt:lpstr>Case249</vt:lpstr>
      <vt:lpstr>Case250</vt:lpstr>
      <vt:lpstr>Case251</vt:lpstr>
      <vt:lpstr>Case252</vt:lpstr>
      <vt:lpstr>Case253</vt:lpstr>
      <vt:lpstr>Case254</vt:lpstr>
      <vt:lpstr>Case255</vt:lpstr>
      <vt:lpstr>Case256</vt:lpstr>
      <vt:lpstr>Case257</vt:lpstr>
      <vt:lpstr>Case258</vt:lpstr>
      <vt:lpstr>Case259</vt:lpstr>
      <vt:lpstr>Case260</vt:lpstr>
      <vt:lpstr>Case261</vt:lpstr>
      <vt:lpstr>Case262</vt:lpstr>
      <vt:lpstr>Case263</vt:lpstr>
      <vt:lpstr>Case264</vt:lpstr>
      <vt:lpstr>Case265</vt:lpstr>
      <vt:lpstr>Case266</vt:lpstr>
      <vt:lpstr>Case267</vt:lpstr>
      <vt:lpstr>Case268</vt:lpstr>
      <vt:lpstr>Case269</vt:lpstr>
      <vt:lpstr>Case270</vt:lpstr>
      <vt:lpstr>Case271</vt:lpstr>
      <vt:lpstr>Case272</vt:lpstr>
      <vt:lpstr>Case273</vt:lpstr>
      <vt:lpstr>Case274</vt:lpstr>
      <vt:lpstr>Case275</vt:lpstr>
      <vt:lpstr>Case276</vt:lpstr>
      <vt:lpstr>Case277</vt:lpstr>
      <vt:lpstr>Case278</vt:lpstr>
      <vt:lpstr>Case279</vt:lpstr>
      <vt:lpstr>Case280</vt:lpstr>
      <vt:lpstr>Case281</vt:lpstr>
      <vt:lpstr>Case282</vt:lpstr>
      <vt:lpstr>Case283</vt:lpstr>
      <vt:lpstr>Case284</vt:lpstr>
      <vt:lpstr>Case285</vt:lpstr>
      <vt:lpstr>Case286</vt:lpstr>
      <vt:lpstr>Case287</vt:lpstr>
      <vt:lpstr>Case288</vt:lpstr>
      <vt:lpstr>Case289</vt:lpstr>
      <vt:lpstr>Case290</vt:lpstr>
      <vt:lpstr>Case291</vt:lpstr>
      <vt:lpstr>Case292</vt:lpstr>
      <vt:lpstr>Case293</vt:lpstr>
      <vt:lpstr>Case294</vt:lpstr>
      <vt:lpstr>Case295</vt:lpstr>
      <vt:lpstr>Case296</vt:lpstr>
      <vt:lpstr>Case297</vt:lpstr>
      <vt:lpstr>Case298</vt:lpstr>
      <vt:lpstr>Case299</vt:lpstr>
      <vt:lpstr>Case300</vt:lpstr>
      <vt:lpstr>Case301</vt:lpstr>
      <vt:lpstr>Case302</vt:lpstr>
      <vt:lpstr>Case303</vt:lpstr>
      <vt:lpstr>Case304</vt:lpstr>
      <vt:lpstr>Case305</vt:lpstr>
      <vt:lpstr>Case306</vt:lpstr>
      <vt:lpstr>Case307</vt:lpstr>
      <vt:lpstr>Case308</vt:lpstr>
      <vt:lpstr>Case309</vt:lpstr>
      <vt:lpstr>Case310</vt:lpstr>
      <vt:lpstr>Case311</vt:lpstr>
      <vt:lpstr>Case312</vt:lpstr>
      <vt:lpstr>Case313</vt:lpstr>
      <vt:lpstr>Case314</vt:lpstr>
      <vt:lpstr>Case315</vt:lpstr>
      <vt:lpstr>Case316</vt:lpstr>
      <vt:lpstr>Case317</vt:lpstr>
      <vt:lpstr>Case318</vt:lpstr>
      <vt:lpstr>Case319</vt:lpstr>
      <vt:lpstr>Case320</vt:lpstr>
      <vt:lpstr>Case321</vt:lpstr>
      <vt:lpstr>Case322</vt:lpstr>
      <vt:lpstr>Case323</vt:lpstr>
      <vt:lpstr>Case324</vt:lpstr>
      <vt:lpstr>Case325</vt:lpstr>
      <vt:lpstr>Case326</vt:lpstr>
      <vt:lpstr>Case327</vt:lpstr>
      <vt:lpstr>Case328</vt:lpstr>
      <vt:lpstr>Case329</vt:lpstr>
      <vt:lpstr>Case330</vt:lpstr>
      <vt:lpstr>Case331</vt:lpstr>
      <vt:lpstr>Case332</vt:lpstr>
      <vt:lpstr>Case333</vt:lpstr>
      <vt:lpstr>Case334</vt:lpstr>
      <vt:lpstr>Case335</vt:lpstr>
      <vt:lpstr>Case336</vt:lpstr>
      <vt:lpstr>Case337</vt:lpstr>
      <vt:lpstr>Case338</vt:lpstr>
      <vt:lpstr>Case339</vt:lpstr>
      <vt:lpstr>Case340</vt:lpstr>
      <vt:lpstr>Case341</vt:lpstr>
      <vt:lpstr>Case342</vt:lpstr>
      <vt:lpstr>Case343</vt:lpstr>
      <vt:lpstr>Case344</vt:lpstr>
      <vt:lpstr>Case345</vt:lpstr>
      <vt:lpstr>Case346</vt:lpstr>
      <vt:lpstr>Case347</vt:lpstr>
      <vt:lpstr>Case348</vt:lpstr>
      <vt:lpstr>Case349</vt:lpstr>
      <vt:lpstr>Case350</vt:lpstr>
      <vt:lpstr>Case351</vt:lpstr>
      <vt:lpstr>Case352</vt:lpstr>
      <vt:lpstr>Case353</vt:lpstr>
      <vt:lpstr>Case354</vt:lpstr>
      <vt:lpstr>Case355</vt:lpstr>
      <vt:lpstr>Case356</vt:lpstr>
      <vt:lpstr>Case357</vt:lpstr>
      <vt:lpstr>Case358</vt:lpstr>
      <vt:lpstr>Case359</vt:lpstr>
      <vt:lpstr>Case360</vt:lpstr>
      <vt:lpstr>Case361</vt:lpstr>
      <vt:lpstr>Case362</vt:lpstr>
      <vt:lpstr>Case363</vt:lpstr>
      <vt:lpstr>Case364</vt:lpstr>
      <vt:lpstr>Case365</vt:lpstr>
      <vt:lpstr>Case366</vt:lpstr>
      <vt:lpstr>Case367</vt:lpstr>
      <vt:lpstr>Case368</vt:lpstr>
      <vt:lpstr>Case369</vt:lpstr>
      <vt:lpstr>Case370</vt:lpstr>
      <vt:lpstr>Case371</vt:lpstr>
      <vt:lpstr>Case372</vt:lpstr>
      <vt:lpstr>Case373</vt:lpstr>
      <vt:lpstr>Case374</vt:lpstr>
      <vt:lpstr>Case375</vt:lpstr>
      <vt:lpstr>Case376</vt:lpstr>
      <vt:lpstr>Case377</vt:lpstr>
      <vt:lpstr>Case378</vt:lpstr>
      <vt:lpstr>Case379</vt:lpstr>
      <vt:lpstr>Case380</vt:lpstr>
      <vt:lpstr>Case381</vt:lpstr>
      <vt:lpstr>Case382</vt:lpstr>
      <vt:lpstr>Case383</vt:lpstr>
      <vt:lpstr>Case384</vt:lpstr>
      <vt:lpstr>Case385</vt:lpstr>
      <vt:lpstr>Case386</vt:lpstr>
      <vt:lpstr>Case387</vt:lpstr>
      <vt:lpstr>Case388</vt:lpstr>
      <vt:lpstr>Case389</vt:lpstr>
      <vt:lpstr>Case390</vt:lpstr>
      <vt:lpstr>Case391</vt:lpstr>
      <vt:lpstr>Case392</vt:lpstr>
      <vt:lpstr>Case393</vt:lpstr>
      <vt:lpstr>Case394</vt:lpstr>
      <vt:lpstr>Case395</vt:lpstr>
      <vt:lpstr>Case396</vt:lpstr>
      <vt:lpstr>Case397</vt:lpstr>
      <vt:lpstr>Case398</vt:lpstr>
      <vt:lpstr>Case399</vt:lpstr>
      <vt:lpstr>Case400</vt:lpstr>
      <vt:lpstr>Case401</vt:lpstr>
      <vt:lpstr>Case402</vt:lpstr>
      <vt:lpstr>Case403</vt:lpstr>
      <vt:lpstr>Case404</vt:lpstr>
      <vt:lpstr>Case405</vt:lpstr>
      <vt:lpstr>Case406</vt:lpstr>
      <vt:lpstr>Case407</vt:lpstr>
      <vt:lpstr>Case408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